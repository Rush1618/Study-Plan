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8a5886ee814d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5b91b73f9df4c32"/>
    <x:sheet xmlns:r="http://schemas.openxmlformats.org/officeDocument/2006/relationships" name="24-Week Plan" sheetId="2" r:id="R166df69d482c46c2"/>
    <x:sheet xmlns:r="http://schemas.openxmlformats.org/officeDocument/2006/relationships" name="Weekly Routine" sheetId="3" r:id="R52cc5ab22f074969"/>
    <x:sheet xmlns:r="http://schemas.openxmlformats.org/officeDocument/2006/relationships" name="Mock Tracker" sheetId="4" r:id="R96544ec4806447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"/>
  </x:numFmts>
  <x:fonts count="11">
    <x:font>
      <x:sz val="11"/>
      <x:name val="Carlito"/>
    </x:font>
    <x:font>
      <x:b/>
      <x:sz val="10"/>
      <x:color rgb="FFFFFFFF"/>
      <x:name val="Carlito"/>
    </x:font>
    <x:font>
      <x:sz val="9"/>
      <x:color rgb="FF243247"/>
      <x:name val="Carlito"/>
    </x:font>
    <x:font>
      <x:b/>
      <x:sz val="9"/>
      <x:color rgb="FFFFFFFF"/>
      <x:name val="Carlito"/>
    </x:font>
    <x:font>
      <x:b/>
      <x:sz val="16"/>
      <x:color rgb="FFFFFFFF"/>
      <x:name val="Carlito"/>
    </x:font>
    <x:font>
      <x:sz val="10"/>
      <x:color rgb="FF243247"/>
      <x:name val="Carlito"/>
    </x:font>
    <x:font>
      <x:b/>
      <x:sz val="20"/>
      <x:color rgb="FF13264B"/>
      <x:name val="Carlito"/>
    </x:font>
    <x:font>
      <x:b/>
      <x:sz val="11"/>
      <x:color rgb="FFFFFFFF"/>
      <x:name val="Carlito"/>
    </x:font>
    <x:font>
      <x:b/>
      <x:sz val="9"/>
      <x:color rgb="FF13264B"/>
      <x:name val="Carlito"/>
    </x:font>
    <x:font>
      <x:sz val="8.5"/>
      <x:color rgb="FF243247"/>
      <x:name val="Carlito"/>
    </x:font>
    <x:font>
      <x:sz val="8"/>
      <x:color rgb="FF6B728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3264B"/>
      </x:patternFill>
    </x:fill>
    <x:fill>
      <x:patternFill patternType="solid">
        <x:fgColor rgb="FF0F8994"/>
      </x:patternFill>
    </x:fill>
    <x:fill>
      <x:patternFill patternType="solid">
        <x:fgColor rgb="FFE6F5F3"/>
      </x:patternFill>
    </x:fill>
    <x:fill>
      <x:patternFill patternType="solid">
        <x:fgColor rgb="FFEEF4FA"/>
      </x:patternFill>
    </x:fill>
  </x:fills>
  <x:borders count="2">
    <x:border/>
    <x:border/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horizontal="center" wrapText="1"/>
    </x:xf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ill>
        <x:patternFill patternType="solid">
          <x:bgColor rgb="FFDCFCE7"/>
        </x:patternFill>
      </x:fill>
    </x:dxf>
    <x:dxf>
      <x:fill>
        <x:patternFill patternType="solid">
          <x:bgColor rgb="FFFFF0E1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FF0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7eeee2127c42b7" /><Relationship Type="http://schemas.openxmlformats.org/officeDocument/2006/relationships/theme" Target="/xl/theme/theme1.xml" Id="R9366d633e9554663" /><Relationship Type="http://schemas.openxmlformats.org/officeDocument/2006/relationships/sharedStrings" Target="/xl/sharedStrings.xml" Id="R621e0b5712ff400f" /><Relationship Type="http://schemas.openxmlformats.org/officeDocument/2006/relationships/worksheet" Target="/xl/worksheets/sheet1.xml" Id="R45b91b73f9df4c32" /><Relationship Type="http://schemas.openxmlformats.org/officeDocument/2006/relationships/worksheet" Target="/xl/worksheets/sheet2.xml" Id="R166df69d482c46c2" /><Relationship Type="http://schemas.openxmlformats.org/officeDocument/2006/relationships/worksheet" Target="/xl/worksheets/sheet3.xml" Id="R52cc5ab22f074969" /><Relationship Type="http://schemas.openxmlformats.org/officeDocument/2006/relationships/worksheet" Target="/xl/worksheets/sheet4.xml" Id="R96544ec48064477e" /></Relationships>
</file>

<file path=xl/tables/table1.xml><?xml version="1.0" encoding="utf-8"?>
<x:table xmlns:x="http://schemas.openxmlformats.org/spreadsheetml/2006/main" id="1" name="WeeklyPlanTable" displayName="WeeklyPlanTable" ref="A1:I25" headerRowCount="1" totalsRowCount="0" totalsRowShown="0">
  <x:tableColumns count="9">
    <x:tableColumn id="1" name="Week"/>
    <x:tableColumn id="2" name="Start Date"/>
    <x:tableColumn id="3" name="End Date"/>
    <x:tableColumn id="4" name="Quant Focus"/>
    <x:tableColumn id="5" name="Logical / Abstract Reasoning"/>
    <x:tableColumn id="6" name="VARC Maintenance"/>
    <x:tableColumn id="7" name="Test Milestone"/>
    <x:tableColumn id="8" name="Status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ckTrackerTable" displayName="MockTrackerTable" ref="A1:J16" headerRowCount="1" totalsRowCount="0" totalsRowShown="0">
  <x:tableColumns count="10">
    <x:tableColumn id="1" name="Test"/>
    <x:tableColumn id="2" name="Week"/>
    <x:tableColumn id="3" name="Planned Start"/>
    <x:tableColumn id="4" name="Score / 200"/>
    <x:tableColumn id="5" name="Time (min)"/>
    <x:tableColumn id="6" name="Quant issue"/>
    <x:tableColumn id="7" name="LR/AR issue"/>
    <x:tableColumn id="8" name="VARC issue"/>
    <x:tableColumn id="9" name="Top fixes before next test"/>
    <x:tableColumn id="10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f9f241b5ad4c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2e91bfa05dd4ac6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7" hidden="0" customWidth="1"/>
    <x:col min="2" max="2" width="13" hidden="0" customWidth="1"/>
    <x:col min="3" max="3" width="19" hidden="0" customWidth="1"/>
    <x:col min="4" max="4" width="25" hidden="0" customWidth="1"/>
    <x:col min="5" max="5" width="15" hidden="0" customWidth="1"/>
    <x:col min="6" max="6" width="17" hidden="0" customWidth="1"/>
    <x:col min="7" max="7" width="17" hidden="0" customWidth="1"/>
    <x:col min="8" max="8" width="21" hidden="0" customWidth="1"/>
  </x:cols>
  <x:sheetData>
    <x:row r="1" ht="34" customHeight="1">
      <x:c r="A1" s="38" t="str">
        <x:v>MAH-MBA/MMS-CET 2027 | QUICK STUDY DASHBOARD</x:v>
      </x:c>
      <x:c r="B1" s="38"/>
      <x:c r="C1" s="38"/>
      <x:c r="D1" s="38"/>
      <x:c r="E1" s="38"/>
      <x:c r="F1" s="38"/>
      <x:c r="G1" s="38"/>
      <x:c r="H1" s="38"/>
    </x:row>
    <x:row r="2" ht="28" customHeight="1">
      <x:c r="A2" s="44" t="str">
        <x:v>Phone-friendly tracker • Quant + 33 Reasoning chapters • VARC already completed, so maintain it daily</x:v>
      </x:c>
      <x:c r="B2" s="44"/>
      <x:c r="C2" s="44"/>
      <x:c r="D2" s="44"/>
      <x:c r="E2" s="44"/>
      <x:c r="F2" s="44"/>
      <x:c r="G2" s="44"/>
      <x:c r="H2" s="44"/>
    </x:row>
    <x:row r="4" ht="22" customHeight="1">
      <x:c r="A4" s="50" t="str">
        <x:v>WEEKS DONE</x:v>
      </x:c>
      <x:c r="B4" s="50"/>
      <x:c r="C4" s="50" t="str">
        <x:v>IN PROGRESS</x:v>
      </x:c>
      <x:c r="D4" s="50"/>
      <x:c r="E4" s="50" t="str">
        <x:v>NOT STARTED</x:v>
      </x:c>
      <x:c r="F4" s="50"/>
      <x:c r="G4" s="50" t="str">
        <x:v>MOCKS SCORED</x:v>
      </x:c>
      <x:c r="H4" s="50"/>
    </x:row>
    <x:row r="5" ht="35" customHeight="1">
      <x:c r="A5" s="56" t="n">
        <x:f>COUNTIF('24-Week Plan'!H2:H25,"Done")</x:f>
        <x:v>0</x:v>
      </x:c>
      <x:c r="B5" s="56"/>
      <x:c r="C5" s="56" t="n">
        <x:f>COUNTIF('24-Week Plan'!H2:H25,"In progress")</x:f>
        <x:v>0</x:v>
      </x:c>
      <x:c r="D5" s="56"/>
      <x:c r="E5" s="56" t="n">
        <x:f>COUNTIF('24-Week Plan'!H2:H25,"Not started")</x:f>
        <x:v>24</x:v>
      </x:c>
      <x:c r="F5" s="56"/>
      <x:c r="G5" s="56" t="n">
        <x:f>COUNT('Mock Tracker'!D2:D16)</x:f>
        <x:v>0</x:v>
      </x:c>
      <x:c r="H5" s="56"/>
    </x:row>
    <x:row r="7" ht="24" customHeight="1">
      <x:c r="A7" s="60" t="str">
        <x:v>DAILY LOOP — 2 HOURS 15 MINUTES</x:v>
      </x:c>
      <x:c r="B7" s="60"/>
      <x:c r="C7" s="60"/>
      <x:c r="D7" s="60"/>
      <x:c r="E7" s="60"/>
      <x:c r="F7" s="60"/>
      <x:c r="G7" s="60"/>
      <x:c r="H7" s="60"/>
    </x:row>
    <x:row r="8" ht="24" customHeight="1">
      <x:c r="A8" s="64" t="str">
        <x:v>Block</x:v>
      </x:c>
      <x:c r="B8" s="64" t="str">
        <x:v>Time</x:v>
      </x:c>
      <x:c r="C8" s="64" t="str">
        <x:v>What to do</x:v>
      </x:c>
      <x:c r="D8" s="64" t="str">
        <x:v>Finish line</x:v>
      </x:c>
      <x:c r="F8" s="49" t="str">
        <x:v>WEEKLY RHYTHM</x:v>
      </x:c>
      <x:c r="G8" s="49"/>
      <x:c r="H8" s="49"/>
    </x:row>
    <x:row r="9" ht="36" customHeight="1">
      <x:c r="A9" s="14" t="str">
        <x:v>Quant</x:v>
      </x:c>
      <x:c r="B9" s="14" t="str">
        <x:v>50m</x:v>
      </x:c>
      <x:c r="C9" s="14" t="str">
        <x:v>10m formula recall + 20m concept + 20m questions</x:v>
      </x:c>
      <x:c r="D9" s="14" t="str">
        <x:v>8–15 questions</x:v>
      </x:c>
      <x:c r="F9" s="70" t="str">
        <x:v>Mon–Thu</x:v>
      </x:c>
      <x:c r="G9" s="70" t="str">
        <x:v>Learn topics</x:v>
      </x:c>
      <x:c r="H9" s="70" t="str">
        <x:v>Practice daily</x:v>
      </x:c>
    </x:row>
    <x:row r="10" ht="36" customHeight="1">
      <x:c r="A10" s="14" t="str">
        <x:v>Reasoning</x:v>
      </x:c>
      <x:c r="B10" s="14" t="str">
        <x:v>50m</x:v>
      </x:c>
      <x:c r="C10" s="14" t="str">
        <x:v>10m rule/diagram + 25m examples + 15m timed practice</x:v>
      </x:c>
      <x:c r="D10" s="14" t="str">
        <x:v>8–15 questions</x:v>
      </x:c>
      <x:c r="F10" s="70" t="str">
        <x:v>Friday</x:v>
      </x:c>
      <x:c r="G10" s="70" t="str">
        <x:v>Catch up</x:v>
      </x:c>
      <x:c r="H10" s="70" t="str">
        <x:v>Mixed 25–30Q</x:v>
      </x:c>
    </x:row>
    <x:row r="11" ht="36" customHeight="1">
      <x:c r="A11" s="14" t="str">
        <x:v>VARC</x:v>
      </x:c>
      <x:c r="B11" s="14" t="str">
        <x:v>20m</x:v>
      </x:c>
      <x:c r="C11" s="14" t="str">
        <x:v>Rotate RC, cloze/grammar, vocab, para-jumbles</x:v>
      </x:c>
      <x:c r="D11" s="14" t="str">
        <x:v>1 RC or 15–20 Q</x:v>
      </x:c>
      <x:c r="F11" s="70" t="str">
        <x:v>Saturday</x:v>
      </x:c>
      <x:c r="G11" s="70" t="str">
        <x:v>Timed test</x:v>
      </x:c>
      <x:c r="H11" s="70" t="str">
        <x:v>Review errors</x:v>
      </x:c>
    </x:row>
    <x:row r="12" ht="36" customHeight="1">
      <x:c r="A12" s="14" t="str">
        <x:v>Error log</x:v>
      </x:c>
      <x:c r="B12" s="14" t="str">
        <x:v>15m</x:v>
      </x:c>
      <x:c r="C12" s="14" t="str">
        <x:v>Write why wrong; redo 2 older mistakes</x:v>
      </x:c>
      <x:c r="D12" s="14" t="str">
        <x:v>2 repeat errors fixed</x:v>
      </x:c>
      <x:c r="F12" s="70" t="str">
        <x:v>Sunday</x:v>
      </x:c>
      <x:c r="G12" s="70" t="str">
        <x:v>Rest/catch-up</x:v>
      </x:c>
      <x:c r="H12" s="70" t="str">
        <x:v>Plan next week</x:v>
      </x:c>
    </x:row>
    <x:row r="14" ht="22" customHeight="1">
      <x:c r="A14" s="3" t="str">
        <x:v>HOW TO USE THIS FILE</x:v>
      </x:c>
      <x:c r="B14" s="3"/>
      <x:c r="C14" s="3"/>
      <x:c r="D14" s="3"/>
      <x:c r="E14" s="3"/>
      <x:c r="F14" s="3"/>
      <x:c r="G14" s="3"/>
      <x:c r="H14" s="3"/>
    </x:row>
    <x:row r="15">
      <x:c r="A15" s="74" t="str">
        <x:v>1) Open “24-Week Plan” and change Status using the dropdown.  2) Use “Weekly Routine” as your repeatable daily template.  3) After every mock, enter score/time/issues in “Mock Tracker”.  4) A chapter is Done only after concepts + questions + error review.</x:v>
      </x:c>
      <x:c r="B15" s="74"/>
      <x:c r="C15" s="74"/>
      <x:c r="D15" s="74"/>
      <x:c r="E15" s="74"/>
      <x:c r="F15" s="74"/>
      <x:c r="G15" s="74"/>
      <x:c r="H15" s="74"/>
    </x:row>
    <x:row r="16">
      <x:c r="A16" s="74"/>
      <x:c r="B16" s="74"/>
      <x:c r="C16" s="74"/>
      <x:c r="D16" s="74"/>
      <x:c r="E16" s="74"/>
      <x:c r="F16" s="74"/>
      <x:c r="G16" s="74"/>
      <x:c r="H16" s="74"/>
    </x:row>
    <x:row r="18" ht="22" customHeight="1">
      <x:c r="A18" s="48" t="str">
        <x:v>EXAM DATE / SOURCE NOTE</x:v>
      </x:c>
      <x:c r="B18" s="48"/>
      <x:c r="C18" s="48"/>
      <x:c r="D18" s="48"/>
      <x:c r="E18" s="48"/>
      <x:c r="F18" s="48"/>
      <x:c r="G18" s="48"/>
      <x:c r="H18" s="48"/>
    </x:row>
    <x:row r="19">
      <x:c r="A19" s="78" t="str">
        <x:v>The 2027 exam date has not been verified as officially announced. The plan’s dates are planning anchors only; shift the final mock phase when the CET Cell releases the 2027 timetable. Reference: https://cetcell.mahacet.org/time-table/ | 2026 brochure: https://cetcell.mahacet.org/wp-content/uploads/2023/12/MAH-MBA-MMS-CET-2026-Information-Brochure.pdf</x:v>
      </x:c>
      <x:c r="B19" s="78"/>
      <x:c r="C19" s="78"/>
      <x:c r="D19" s="78"/>
      <x:c r="E19" s="78"/>
      <x:c r="F19" s="78"/>
      <x:c r="G19" s="78"/>
      <x:c r="H19" s="78"/>
    </x:row>
    <x:row r="20">
      <x:c r="A20" s="78"/>
      <x:c r="B20" s="78"/>
      <x:c r="C20" s="78"/>
      <x:c r="D20" s="78"/>
      <x:c r="E20" s="78"/>
      <x:c r="F20" s="78"/>
      <x:c r="G20" s="78"/>
      <x:c r="H20" s="78"/>
    </x:row>
  </x:sheetData>
  <x:mergeCells>
    <x:mergeCell ref="A1:H1"/>
    <x:mergeCell ref="A2:H2"/>
    <x:mergeCell ref="A4:B4"/>
    <x:mergeCell ref="A5:B5"/>
    <x:mergeCell ref="C4:D4"/>
    <x:mergeCell ref="C5:D5"/>
    <x:mergeCell ref="E4:F4"/>
    <x:mergeCell ref="E5:F5"/>
    <x:mergeCell ref="G4:H4"/>
    <x:mergeCell ref="G5:H5"/>
    <x:mergeCell ref="A7:H7"/>
    <x:mergeCell ref="F8:H8"/>
    <x:mergeCell ref="A14:H14"/>
    <x:mergeCell ref="A15:H16"/>
    <x:mergeCell ref="A18:H18"/>
    <x:mergeCell ref="A19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16" hidden="0" customWidth="1"/>
    <x:col min="9" max="9" width="26" hidden="0" customWidth="1"/>
  </x:cols>
  <x:sheetData>
    <x:row r="1" ht="32" customHeight="1">
      <x:c r="A1" s="6" t="str">
        <x:v>Week</x:v>
      </x:c>
      <x:c r="B1" s="6" t="str">
        <x:v>Start Date</x:v>
      </x:c>
      <x:c r="C1" s="6" t="str">
        <x:v>End Date</x:v>
      </x:c>
      <x:c r="D1" s="6" t="str">
        <x:v>Quant Focus</x:v>
      </x:c>
      <x:c r="E1" s="6" t="str">
        <x:v>Logical / Abstract Reasoning</x:v>
      </x:c>
      <x:c r="F1" s="6" t="str">
        <x:v>VARC Maintenance</x:v>
      </x:c>
      <x:c r="G1" s="6" t="str">
        <x:v>Test Milestone</x:v>
      </x:c>
      <x:c r="H1" s="6" t="str">
        <x:v>Status</x:v>
      </x:c>
      <x:c r="I1" s="6" t="str">
        <x:v>Notes</x:v>
      </x:c>
    </x:row>
    <x:row r="2" ht="42" customHeight="1">
      <x:c r="A2" s="14" t="str">
        <x:v>Week 01</x:v>
      </x:c>
      <x:c r="B2" s="18" t="n">
        <x:v>46323</x:v>
      </x:c>
      <x:c r="C2" s="18" t="n">
        <x:v>46329</x:v>
      </x:c>
      <x:c r="D2" s="14" t="str">
        <x:v>Simplification + Number System</x:v>
      </x:c>
      <x:c r="E2" s="14" t="str">
        <x:v>Alphabet Test + Coding–Decoding</x:v>
      </x:c>
      <x:c r="F2" s="14" t="str">
        <x:v>1 RC on 3 days; grammar/vocab on other days</x:v>
      </x:c>
      <x:c r="G2" s="14" t="str">
        <x:v>Baseline 30Q diagnostic</x:v>
      </x:c>
      <x:c r="H2" s="14" t="str">
        <x:v>Not started</x:v>
      </x:c>
      <x:c r="I2" s="14" t="str"/>
    </x:row>
    <x:row r="3" ht="42" customHeight="1">
      <x:c r="A3" s="14" t="str">
        <x:v>Week 02</x:v>
      </x:c>
      <x:c r="B3" s="18" t="n">
        <x:v>46330</x:v>
      </x:c>
      <x:c r="C3" s="18" t="n">
        <x:v>46336</x:v>
      </x:c>
      <x:c r="D3" s="14" t="str">
        <x:v>HCF &amp; LCM + Surds &amp; Indices</x:v>
      </x:c>
      <x:c r="E3" s="14" t="str">
        <x:v>Blood Relation + Order/Ranking + Direction Sense</x:v>
      </x:c>
      <x:c r="F3" s="14" t="str">
        <x:v>RC detail/inference; 15 vocab words</x:v>
      </x:c>
      <x:c r="G3" s="14" t="str">
        <x:v>Quant 20Q + LR 20Q mini-tests</x:v>
      </x:c>
      <x:c r="H3" s="14" t="str">
        <x:v>Not started</x:v>
      </x:c>
      <x:c r="I3" s="14" t="str"/>
    </x:row>
    <x:row r="4" ht="42" customHeight="1">
      <x:c r="A4" s="14" t="str">
        <x:v>Week 03</x:v>
      </x:c>
      <x:c r="B4" s="18" t="n">
        <x:v>46337</x:v>
      </x:c>
      <x:c r="C4" s="18" t="n">
        <x:v>46343</x:v>
      </x:c>
      <x:c r="D4" s="14" t="str">
        <x:v>Linear &amp; Quadratic Equations + Average</x:v>
      </x:c>
      <x:c r="E4" s="14" t="str">
        <x:v>Syllogism + Inequalities</x:v>
      </x:c>
      <x:c r="F4" s="14" t="str">
        <x:v>Sentence improvement + error spotting</x:v>
      </x:c>
      <x:c r="G4" s="14" t="str">
        <x:v>25Q Quant timed set</x:v>
      </x:c>
      <x:c r="H4" s="14" t="str">
        <x:v>Not started</x:v>
      </x:c>
      <x:c r="I4" s="14" t="str"/>
    </x:row>
    <x:row r="5" ht="42" customHeight="1">
      <x:c r="A5" s="14" t="str">
        <x:v>Week 04</x:v>
      </x:c>
      <x:c r="B5" s="18" t="n">
        <x:v>46344</x:v>
      </x:c>
      <x:c r="C5" s="18" t="n">
        <x:v>46350</x:v>
      </x:c>
      <x:c r="D5" s="14" t="str">
        <x:v>Percentage + Profit &amp; Loss</x:v>
      </x:c>
      <x:c r="E5" s="14" t="str">
        <x:v>Input–Output + Letter Series</x:v>
      </x:c>
      <x:c r="F5" s="14" t="str">
        <x:v>1 RC + review wrong answers</x:v>
      </x:c>
      <x:c r="G5" s="14" t="str">
        <x:v>25Q Reasoning timed set</x:v>
      </x:c>
      <x:c r="H5" s="14" t="str">
        <x:v>Not started</x:v>
      </x:c>
      <x:c r="I5" s="14" t="str"/>
    </x:row>
    <x:row r="6" ht="42" customHeight="1">
      <x:c r="A6" s="14" t="str">
        <x:v>Week 05</x:v>
      </x:c>
      <x:c r="B6" s="18" t="n">
        <x:v>46351</x:v>
      </x:c>
      <x:c r="C6" s="18" t="n">
        <x:v>46357</x:v>
      </x:c>
      <x:c r="D6" s="14" t="str">
        <x:v>SI &amp; CI + Ratio &amp; Proportion</x:v>
      </x:c>
      <x:c r="E6" s="14" t="str">
        <x:v>Seating Arrangement basics</x:v>
      </x:c>
      <x:c r="F6" s="14" t="str">
        <x:v>Cloze + grammar drills</x:v>
      </x:c>
      <x:c r="G6" s="14" t="str">
        <x:v>50Q mixed sectional</x:v>
      </x:c>
      <x:c r="H6" s="14" t="str">
        <x:v>Not started</x:v>
      </x:c>
      <x:c r="I6" s="14" t="str"/>
    </x:row>
    <x:row r="7" ht="42" customHeight="1">
      <x:c r="A7" s="14" t="str">
        <x:v>Week 06</x:v>
      </x:c>
      <x:c r="B7" s="18" t="n">
        <x:v>46358</x:v>
      </x:c>
      <x:c r="C7" s="18" t="n">
        <x:v>46364</x:v>
      </x:c>
      <x:c r="D7" s="14" t="str">
        <x:v>Partnership + Mixture &amp; Alligation</x:v>
      </x:c>
      <x:c r="E7" s="14" t="str">
        <x:v>Linear/circular puzzles</x:v>
      </x:c>
      <x:c r="F7" s="14" t="str">
        <x:v>1 RC + vocabulary recall</x:v>
      </x:c>
      <x:c r="G7" s="14" t="str">
        <x:v>50Q Quant sectional</x:v>
      </x:c>
      <x:c r="H7" s="14" t="str">
        <x:v>Not started</x:v>
      </x:c>
      <x:c r="I7" s="14" t="str"/>
    </x:row>
    <x:row r="8" ht="42" customHeight="1">
      <x:c r="A8" s="14" t="str">
        <x:v>Week 07</x:v>
      </x:c>
      <x:c r="B8" s="18" t="n">
        <x:v>46365</x:v>
      </x:c>
      <x:c r="C8" s="18" t="n">
        <x:v>46371</x:v>
      </x:c>
      <x:c r="D8" s="14" t="str">
        <x:v>Problems on Ages + Time, Speed &amp; Distance</x:v>
      </x:c>
      <x:c r="E8" s="14" t="str">
        <x:v>Floor/box/month puzzles</x:v>
      </x:c>
      <x:c r="F8" s="14" t="str">
        <x:v>Cloze + jumbled paragraphs</x:v>
      </x:c>
      <x:c r="G8" s="14" t="str">
        <x:v>50Q LR sectional</x:v>
      </x:c>
      <x:c r="H8" s="14" t="str">
        <x:v>Not started</x:v>
      </x:c>
      <x:c r="I8" s="14" t="str"/>
    </x:row>
    <x:row r="9" ht="42" customHeight="1">
      <x:c r="A9" s="14" t="str">
        <x:v>Week 08</x:v>
      </x:c>
      <x:c r="B9" s="18" t="n">
        <x:v>46372</x:v>
      </x:c>
      <x:c r="C9" s="18" t="n">
        <x:v>46378</x:v>
      </x:c>
      <x:c r="D9" s="14" t="str">
        <x:v>Time &amp; Work + AP/GP</x:v>
      </x:c>
      <x:c r="E9" s="14" t="str">
        <x:v>Data Sufficiency + Decision Making</x:v>
      </x:c>
      <x:c r="F9" s="14" t="str">
        <x:v>1 RC + vocab/idioms</x:v>
      </x:c>
      <x:c r="G9" s="14" t="str">
        <x:v>50Q VARC sectional</x:v>
      </x:c>
      <x:c r="H9" s="14" t="str">
        <x:v>Not started</x:v>
      </x:c>
      <x:c r="I9" s="14" t="str"/>
    </x:row>
    <x:row r="10" ht="42" customHeight="1">
      <x:c r="A10" s="14" t="str">
        <x:v>Week 09</x:v>
      </x:c>
      <x:c r="B10" s="18" t="n">
        <x:v>46379</x:v>
      </x:c>
      <x:c r="C10" s="18" t="n">
        <x:v>46385</x:v>
      </x:c>
      <x:c r="D10" s="14" t="str">
        <x:v>Permutation &amp; Combination + Probability</x:v>
      </x:c>
      <x:c r="E10" s="14" t="str">
        <x:v>Inference + Cause &amp; Effect</x:v>
      </x:c>
      <x:c r="F10" s="14" t="str">
        <x:v>RC tone, purpose, inference</x:v>
      </x:c>
      <x:c r="G10" s="14" t="str">
        <x:v>100Q mixed practice test</x:v>
      </x:c>
      <x:c r="H10" s="14" t="str">
        <x:v>Not started</x:v>
      </x:c>
      <x:c r="I10" s="14" t="str"/>
    </x:row>
    <x:row r="11" ht="42" customHeight="1">
      <x:c r="A11" s="14" t="str">
        <x:v>Week 10</x:v>
      </x:c>
      <x:c r="B11" s="18" t="n">
        <x:v>46386</x:v>
      </x:c>
      <x:c r="C11" s="18" t="n">
        <x:v>46392</x:v>
      </x:c>
      <x:c r="D11" s="14" t="str">
        <x:v>Mensuration 2D &amp; 3D</x:v>
      </x:c>
      <x:c r="E11" s="14" t="str">
        <x:v>Statement &amp; Assumptions + Course of Action</x:v>
      </x:c>
      <x:c r="F11" s="14" t="str">
        <x:v>RC + grammar error log</x:v>
      </x:c>
      <x:c r="G11" s="14" t="str">
        <x:v>50Q Quant timed set</x:v>
      </x:c>
      <x:c r="H11" s="14" t="str">
        <x:v>Not started</x:v>
      </x:c>
      <x:c r="I11" s="14" t="str"/>
    </x:row>
    <x:row r="12" ht="42" customHeight="1">
      <x:c r="A12" s="14" t="str">
        <x:v>Week 11</x:v>
      </x:c>
      <x:c r="B12" s="18" t="n">
        <x:v>46393</x:v>
      </x:c>
      <x:c r="C12" s="18" t="n">
        <x:v>46399</x:v>
      </x:c>
      <x:c r="D12" s="14" t="str">
        <x:v>Geometry</x:v>
      </x:c>
      <x:c r="E12" s="14" t="str">
        <x:v>Statement &amp; Arguments + Conclusion</x:v>
      </x:c>
      <x:c r="F12" s="14" t="str">
        <x:v>RC + vocab in context</x:v>
      </x:c>
      <x:c r="G12" s="14" t="str">
        <x:v>100Q LR/AR sectional</x:v>
      </x:c>
      <x:c r="H12" s="14" t="str">
        <x:v>Not started</x:v>
      </x:c>
      <x:c r="I12" s="14" t="str"/>
    </x:row>
    <x:row r="13" ht="42" customHeight="1">
      <x:c r="A13" s="14" t="str">
        <x:v>Week 12</x:v>
      </x:c>
      <x:c r="B13" s="18" t="n">
        <x:v>46400</x:v>
      </x:c>
      <x:c r="C13" s="18" t="n">
        <x:v>46406</x:v>
      </x:c>
      <x:c r="D13" s="14" t="str">
        <x:v>Trigonometry &amp; Logarithms + Number Series</x:v>
      </x:c>
      <x:c r="E13" s="14" t="str">
        <x:v>Number Series + Clocks/Calendars + Venn Diagram</x:v>
      </x:c>
      <x:c r="F13" s="14" t="str">
        <x:v>RC + 20 mixed verbal Q</x:v>
      </x:c>
      <x:c r="G13" s="14" t="str">
        <x:v>50Q Quant timed set</x:v>
      </x:c>
      <x:c r="H13" s="14" t="str">
        <x:v>Not started</x:v>
      </x:c>
      <x:c r="I13" s="14" t="str"/>
    </x:row>
    <x:row r="14" ht="42" customHeight="1">
      <x:c r="A14" s="14" t="str">
        <x:v>Week 13</x:v>
      </x:c>
      <x:c r="B14" s="18" t="n">
        <x:v>46407</x:v>
      </x:c>
      <x:c r="C14" s="18" t="n">
        <x:v>46413</x:v>
      </x:c>
      <x:c r="D14" s="14" t="str">
        <x:v>Data Interpretation + Data Sufficiency</x:v>
      </x:c>
      <x:c r="E14" s="14" t="str">
        <x:v>Matrix + Coded Equation</x:v>
      </x:c>
      <x:c r="F14" s="14" t="str">
        <x:v>RC + verbal error types</x:v>
      </x:c>
      <x:c r="G14" s="14" t="str">
        <x:v>50Q Quant with DI</x:v>
      </x:c>
      <x:c r="H14" s="14" t="str">
        <x:v>Not started</x:v>
      </x:c>
      <x:c r="I14" s="14" t="str"/>
    </x:row>
    <x:row r="15" ht="42" customHeight="1">
      <x:c r="A15" s="14" t="str">
        <x:v>Week 14</x:v>
      </x:c>
      <x:c r="B15" s="18" t="n">
        <x:v>46414</x:v>
      </x:c>
      <x:c r="C15" s="18" t="n">
        <x:v>46420</x:v>
      </x:c>
      <x:c r="D15" s="14" t="str">
        <x:v>Quant catch-up + formulas</x:v>
      </x:c>
      <x:c r="E15" s="14" t="str">
        <x:v>Cubes/Dice/Cuboids + Non-Verbal Reasoning</x:v>
      </x:c>
      <x:c r="F15" s="14" t="str">
        <x:v>2 RCs across week</x:v>
      </x:c>
      <x:c r="G15" s="14" t="str">
        <x:v>100Q LR/AR sectional</x:v>
      </x:c>
      <x:c r="H15" s="14" t="str">
        <x:v>Not started</x:v>
      </x:c>
      <x:c r="I15" s="14" t="str"/>
    </x:row>
    <x:row r="16" ht="42" customHeight="1">
      <x:c r="A16" s="14" t="str">
        <x:v>Week 15</x:v>
      </x:c>
      <x:c r="B16" s="18" t="n">
        <x:v>46421</x:v>
      </x:c>
      <x:c r="C16" s="18" t="n">
        <x:v>46427</x:v>
      </x:c>
      <x:c r="D16" s="14" t="str">
        <x:v>Quant weak-topic repair</x:v>
      </x:c>
      <x:c r="E16" s="14" t="str">
        <x:v>Pattern Perception + Paper Cutting/Folding</x:v>
      </x:c>
      <x:c r="F16" s="14" t="str">
        <x:v>Grammar/vocab + 1 RC</x:v>
      </x:c>
      <x:c r="G16" s="14" t="str">
        <x:v>Full mock 1 (200Q/150m)</x:v>
      </x:c>
      <x:c r="H16" s="14" t="str">
        <x:v>Not started</x:v>
      </x:c>
      <x:c r="I16" s="14" t="str"/>
    </x:row>
    <x:row r="17" ht="42" customHeight="1">
      <x:c r="A17" s="14" t="str">
        <x:v>Week 16</x:v>
      </x:c>
      <x:c r="B17" s="18" t="n">
        <x:v>46428</x:v>
      </x:c>
      <x:c r="C17" s="18" t="n">
        <x:v>46434</x:v>
      </x:c>
      <x:c r="D17" s="14" t="str">
        <x:v>Quant mixed revision</x:v>
      </x:c>
      <x:c r="E17" s="14" t="str">
        <x:v>Water Image + Mirror Image + Missing Number</x:v>
      </x:c>
      <x:c r="F17" s="14" t="str">
        <x:v>2 RCs + mixed verbal</x:v>
      </x:c>
      <x:c r="G17" s="14" t="str">
        <x:v>Full mock 2 + deep review</x:v>
      </x:c>
      <x:c r="H17" s="14" t="str">
        <x:v>Not started</x:v>
      </x:c>
      <x:c r="I17" s="14" t="str"/>
    </x:row>
    <x:row r="18" ht="42" customHeight="1">
      <x:c r="A18" s="14" t="str">
        <x:v>Week 17</x:v>
      </x:c>
      <x:c r="B18" s="18" t="n">
        <x:v>46435</x:v>
      </x:c>
      <x:c r="C18" s="18" t="n">
        <x:v>46441</x:v>
      </x:c>
      <x:c r="D18" s="14" t="str">
        <x:v>Arithmetic mixed sets</x:v>
      </x:c>
      <x:c r="E18" s="14" t="str">
        <x:v>Analogy + Classification + weak LR</x:v>
      </x:c>
      <x:c r="F18" s="14" t="str">
        <x:v>15–20m VARC maintenance</x:v>
      </x:c>
      <x:c r="G18" s="14" t="str">
        <x:v>Full mock 3</x:v>
      </x:c>
      <x:c r="H18" s="14" t="str">
        <x:v>Not started</x:v>
      </x:c>
      <x:c r="I18" s="14" t="str"/>
    </x:row>
    <x:row r="19" ht="42" customHeight="1">
      <x:c r="A19" s="14" t="str">
        <x:v>Week 18</x:v>
      </x:c>
      <x:c r="B19" s="18" t="n">
        <x:v>46442</x:v>
      </x:c>
      <x:c r="C19" s="18" t="n">
        <x:v>46448</x:v>
      </x:c>
      <x:c r="D19" s="14" t="str">
        <x:v>Algebra + Number System mixed</x:v>
      </x:c>
      <x:c r="E19" s="14" t="str">
        <x:v>Seating/Puzzles/Syllogism rotation</x:v>
      </x:c>
      <x:c r="F19" s="14" t="str">
        <x:v>RC speed + inference</x:v>
      </x:c>
      <x:c r="G19" s="14" t="str">
        <x:v>Full mock 4</x:v>
      </x:c>
      <x:c r="H19" s="14" t="str">
        <x:v>Not started</x:v>
      </x:c>
      <x:c r="I19" s="14" t="str"/>
    </x:row>
    <x:row r="20" ht="42" customHeight="1">
      <x:c r="A20" s="14" t="str">
        <x:v>Week 19</x:v>
      </x:c>
      <x:c r="B20" s="18" t="n">
        <x:v>46449</x:v>
      </x:c>
      <x:c r="C20" s="18" t="n">
        <x:v>46455</x:v>
      </x:c>
      <x:c r="D20" s="14" t="str">
        <x:v>Geometry + DI mixed</x:v>
      </x:c>
      <x:c r="E20" s="14" t="str">
        <x:v>Statement-based reasoning rotation</x:v>
      </x:c>
      <x:c r="F20" s="14" t="str">
        <x:v>Vocab + grammar speed set</x:v>
      </x:c>
      <x:c r="G20" s="14" t="str">
        <x:v>Full mock 5</x:v>
      </x:c>
      <x:c r="H20" s="14" t="str">
        <x:v>Not started</x:v>
      </x:c>
      <x:c r="I20" s="14" t="str"/>
    </x:row>
    <x:row r="21" ht="42" customHeight="1">
      <x:c r="A21" s="14" t="str">
        <x:v>Week 20</x:v>
      </x:c>
      <x:c r="B21" s="18" t="n">
        <x:v>46456</x:v>
      </x:c>
      <x:c r="C21" s="18" t="n">
        <x:v>46462</x:v>
      </x:c>
      <x:c r="D21" s="14" t="str">
        <x:v>Quant sectional revision</x:v>
      </x:c>
      <x:c r="E21" s="14" t="str">
        <x:v>Abstract pattern speed drills</x:v>
      </x:c>
      <x:c r="F21" s="14" t="str">
        <x:v>2 RCs + 25Q verbal drill</x:v>
      </x:c>
      <x:c r="G21" s="14" t="str">
        <x:v>Full mock 6</x:v>
      </x:c>
      <x:c r="H21" s="14" t="str">
        <x:v>Not started</x:v>
      </x:c>
      <x:c r="I21" s="14" t="str"/>
    </x:row>
    <x:row r="22" ht="42" customHeight="1">
      <x:c r="A22" s="14" t="str">
        <x:v>Week 21</x:v>
      </x:c>
      <x:c r="B22" s="18" t="n">
        <x:v>46463</x:v>
      </x:c>
      <x:c r="C22" s="18" t="n">
        <x:v>46469</x:v>
      </x:c>
      <x:c r="D22" s="14" t="str">
        <x:v>Top 3 Quant weaknesses</x:v>
      </x:c>
      <x:c r="E22" s="14" t="str">
        <x:v>Top 3 LR weaknesses</x:v>
      </x:c>
      <x:c r="F22" s="14" t="str">
        <x:v>Timed mixed VARC</x:v>
      </x:c>
      <x:c r="G22" s="14" t="str">
        <x:v>Full mocks 7 and 8</x:v>
      </x:c>
      <x:c r="H22" s="14" t="str">
        <x:v>Not started</x:v>
      </x:c>
      <x:c r="I22" s="14" t="str"/>
    </x:row>
    <x:row r="23" ht="42" customHeight="1">
      <x:c r="A23" s="14" t="str">
        <x:v>Week 22</x:v>
      </x:c>
      <x:c r="B23" s="18" t="n">
        <x:v>46470</x:v>
      </x:c>
      <x:c r="C23" s="18" t="n">
        <x:v>46476</x:v>
      </x:c>
      <x:c r="D23" s="14" t="str">
        <x:v>Calculation speed + formulas</x:v>
      </x:c>
      <x:c r="E23" s="14" t="str">
        <x:v>High-error reasoning chapters</x:v>
      </x:c>
      <x:c r="F23" s="14" t="str">
        <x:v>RC + vocab/error list</x:v>
      </x:c>
      <x:c r="G23" s="14" t="str">
        <x:v>Full mocks 9 and 10</x:v>
      </x:c>
      <x:c r="H23" s="14" t="str">
        <x:v>Not started</x:v>
      </x:c>
      <x:c r="I23" s="14" t="str"/>
    </x:row>
    <x:row r="24" ht="42" customHeight="1">
      <x:c r="A24" s="14" t="str">
        <x:v>Week 23</x:v>
      </x:c>
      <x:c r="B24" s="18" t="n">
        <x:v>46477</x:v>
      </x:c>
      <x:c r="C24" s="18" t="n">
        <x:v>46483</x:v>
      </x:c>
      <x:c r="D24" s="14" t="str">
        <x:v>Only weak topics + previous errors</x:v>
      </x:c>
      <x:c r="E24" s="14" t="str">
        <x:v>Reasoning mixed sets; no new theory</x:v>
      </x:c>
      <x:c r="F24" s="14" t="str">
        <x:v>Short RC + familiar rules</x:v>
      </x:c>
      <x:c r="G24" s="14" t="str">
        <x:v>Full mocks 11 and 12</x:v>
      </x:c>
      <x:c r="H24" s="14" t="str">
        <x:v>Not started</x:v>
      </x:c>
      <x:c r="I24" s="14" t="str"/>
    </x:row>
    <x:row r="25" ht="42" customHeight="1">
      <x:c r="A25" s="14" t="str">
        <x:v>Week 24</x:v>
      </x:c>
      <x:c r="B25" s="18" t="n">
        <x:v>46484</x:v>
      </x:c>
      <x:c r="C25" s="18" t="n">
        <x:v>46490</x:v>
      </x:c>
      <x:c r="D25" s="14" t="str">
        <x:v>Formula sheet + easy/medium Q</x:v>
      </x:c>
      <x:c r="E25" s="14" t="str">
        <x:v>Light reasoning, no new difficult topics</x:v>
      </x:c>
      <x:c r="F25" s="14" t="str">
        <x:v>Light review; sleep/routine</x:v>
      </x:c>
      <x:c r="G25" s="14" t="str">
        <x:v>Mocks 13–14 only if date permits</x:v>
      </x:c>
      <x:c r="H25" s="14" t="str">
        <x:v>Not started</x:v>
      </x:c>
      <x:c r="I25" s="14" t="str"/>
    </x:row>
  </x:sheetData>
  <x:conditionalFormatting sqref="H2:H25">
    <x:cfRule type="expression" dxfId="0" priority="1">
      <x:formula>H2="Done"</x:formula>
    </x:cfRule>
    <x:cfRule type="expression" dxfId="1" priority="2">
      <x:formula>H2="In progress"</x:formula>
    </x:cfRule>
  </x:conditionalFormatting>
  <x:dataValidations count="1">
    <x:dataValidation type="list" sqref="H2:H25">
      <x:formula1>"Not started,In progress,Done"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f9f241b5ad4c01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4" hidden="0" customWidth="1"/>
    <x:col min="3" max="3" width="78" hidden="0" customWidth="1"/>
    <x:col min="4" max="4" width="47" hidden="0" customWidth="1"/>
  </x:cols>
  <x:sheetData>
    <x:row r="1" ht="30" customHeight="1">
      <x:c r="A1" s="6" t="str">
        <x:v>Day / block</x:v>
      </x:c>
      <x:c r="B1" s="6" t="str">
        <x:v>Time</x:v>
      </x:c>
      <x:c r="C1" s="6" t="str">
        <x:v>Action</x:v>
      </x:c>
      <x:c r="D1" s="6" t="str">
        <x:v>Definition of done</x:v>
      </x:c>
    </x:row>
    <x:row r="2" ht="72" customHeight="1">
      <x:c r="A2" s="14" t="str">
        <x:v>Mon–Thu</x:v>
      </x:c>
      <x:c r="B2" s="14" t="str">
        <x:v>50m Quant + 50m Reasoning + 20m VARC + 15m Error Log</x:v>
      </x:c>
      <x:c r="C2" s="14" t="str">
        <x:v>Quant: 10m formula recall + 20m concept + 20m questions. Reasoning: 10m rule/diagram + 25m examples + 15m timed questions. VARC: rotate RC, cloze/grammar, vocab and para-jumbles. Error log: note why wrong; redo 2 old errors.</x:v>
      </x:c>
      <x:c r="D2" s="14" t="str">
        <x:v>Aim for 8–15 Quant Q + 8–15 Reasoning Q; VARC 1 passage or 15–20 Q.</x:v>
      </x:c>
    </x:row>
    <x:row r="3" ht="72" customHeight="1">
      <x:c r="A3" s="14" t="str">
        <x:v>Friday</x:v>
      </x:c>
      <x:c r="B3" s="14" t="str">
        <x:v>2h 15m</x:v>
      </x:c>
      <x:c r="C3" s="14" t="str">
        <x:v>Close unfinished concepts; solve 25–30 mixed questions; update formula sheet and mistake log.</x:v>
      </x:c>
      <x:c r="D3" s="14" t="str">
        <x:v>No new chapter left half-finished without a clear next step.</x:v>
      </x:c>
    </x:row>
    <x:row r="4" ht="72" customHeight="1">
      <x:c r="A4" s="14" t="str">
        <x:v>Saturday</x:v>
      </x:c>
      <x:c r="B4" s="14" t="str">
        <x:v>60–150m depending on test</x:v>
      </x:c>
      <x:c r="C4" s="14" t="str">
        <x:v>Take the scheduled mini-test, sectional test or full mock. Review wrong, guessed and slow questions immediately afterwards.</x:v>
      </x:c>
      <x:c r="D4" s="14" t="str">
        <x:v>Record score, time taken and top 3 errors.</x:v>
      </x:c>
    </x:row>
    <x:row r="5" ht="72" customHeight="1">
      <x:c r="A5" s="14" t="str">
        <x:v>Sunday</x:v>
      </x:c>
      <x:c r="B5" s="14" t="str">
        <x:v>Rest / optional 30m</x:v>
      </x:c>
      <x:c r="C5" s="14" t="str">
        <x:v>Rest. Only if behind: do a 30-minute catch-up on the single most urgent item.</x:v>
      </x:c>
      <x:c r="D5" s="14" t="str">
        <x:v>Set next week's target; protect sleep and avoid pushing every task forward.</x:v>
      </x:c>
    </x:row>
    <x:row r="7" ht="22" customHeight="1">
      <x:c r="A7" s="21" t="str">
        <x:v>How to mark a topic complete</x:v>
      </x:c>
      <x:c r="B7" s="21"/>
      <x:c r="C7" s="21"/>
      <x:c r="D7" s="21"/>
    </x:row>
    <x:row r="8" ht="30" customHeight="1">
      <x:c r="A8" s="26" t="str">
        <x:v>Theory learned → examples solved → timed questions attempted → wrong answers reviewed. Use “Done” only after all four steps.</x:v>
      </x:c>
      <x:c r="B8" s="26"/>
      <x:c r="C8" s="26"/>
      <x:c r="D8" s="26"/>
    </x:row>
  </x:sheetData>
  <x:mergeCells>
    <x:mergeCell ref="A7:D7"/>
    <x:mergeCell ref="A8:D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15" hidden="0" customWidth="1"/>
    <x:col min="4" max="4" width="14" hidden="0" customWidth="1"/>
    <x:col min="5" max="5" width="12" hidden="0" customWidth="1"/>
    <x:col min="6" max="6" width="24" hidden="0" customWidth="1"/>
    <x:col min="7" max="7" width="24" hidden="0" customWidth="1"/>
    <x:col min="8" max="8" width="24" hidden="0" customWidth="1"/>
    <x:col min="9" max="9" width="30" hidden="0" customWidth="1"/>
    <x:col min="10" max="10" width="16" hidden="0" customWidth="1"/>
  </x:cols>
  <x:sheetData>
    <x:row r="1" ht="36" customHeight="1">
      <x:c r="A1" s="32" t="str">
        <x:v>Test</x:v>
      </x:c>
      <x:c r="B1" s="32" t="str">
        <x:v>Week</x:v>
      </x:c>
      <x:c r="C1" s="32" t="str">
        <x:v>Planned Start</x:v>
      </x:c>
      <x:c r="D1" s="32" t="str">
        <x:v>Score / 200</x:v>
      </x:c>
      <x:c r="E1" s="32" t="str">
        <x:v>Time (min)</x:v>
      </x:c>
      <x:c r="F1" s="32" t="str">
        <x:v>Quant issue</x:v>
      </x:c>
      <x:c r="G1" s="32" t="str">
        <x:v>LR/AR issue</x:v>
      </x:c>
      <x:c r="H1" s="32" t="str">
        <x:v>VARC issue</x:v>
      </x:c>
      <x:c r="I1" s="32" t="str">
        <x:v>Top fixes before next test</x:v>
      </x:c>
      <x:c r="J1" s="32" t="str">
        <x:v>Status</x:v>
      </x:c>
    </x:row>
    <x:row r="2" ht="38" customHeight="1">
      <x:c r="A2" s="14" t="str">
        <x:v>Baseline diagnostic</x:v>
      </x:c>
      <x:c r="B2" s="14" t="str">
        <x:v>Week 1</x:v>
      </x:c>
      <x:c r="C2" s="18" t="n">
        <x:v>46323</x:v>
      </x:c>
      <x:c r="D2" s="14"/>
      <x:c r="E2" s="14"/>
      <x:c r="F2" s="14" t="str"/>
      <x:c r="G2" s="14" t="str"/>
      <x:c r="H2" s="14" t="str"/>
      <x:c r="I2" s="14" t="str"/>
      <x:c r="J2" s="14" t="str">
        <x:v>Not started</x:v>
      </x:c>
    </x:row>
    <x:row r="3" ht="38" customHeight="1">
      <x:c r="A3" s="14" t="str">
        <x:v>Full Mock 1</x:v>
      </x:c>
      <x:c r="B3" s="14" t="str">
        <x:v>Week 15</x:v>
      </x:c>
      <x:c r="C3" s="18" t="n">
        <x:v>46421</x:v>
      </x:c>
      <x:c r="D3" s="14"/>
      <x:c r="E3" s="14"/>
      <x:c r="F3" s="14" t="str"/>
      <x:c r="G3" s="14" t="str"/>
      <x:c r="H3" s="14" t="str"/>
      <x:c r="I3" s="14" t="str"/>
      <x:c r="J3" s="14" t="str">
        <x:v>Not started</x:v>
      </x:c>
    </x:row>
    <x:row r="4" ht="38" customHeight="1">
      <x:c r="A4" s="14" t="str">
        <x:v>Full Mock 2</x:v>
      </x:c>
      <x:c r="B4" s="14" t="str">
        <x:v>Week 16</x:v>
      </x:c>
      <x:c r="C4" s="18" t="n">
        <x:v>46428</x:v>
      </x:c>
      <x:c r="D4" s="14"/>
      <x:c r="E4" s="14"/>
      <x:c r="F4" s="14" t="str"/>
      <x:c r="G4" s="14" t="str"/>
      <x:c r="H4" s="14" t="str"/>
      <x:c r="I4" s="14" t="str"/>
      <x:c r="J4" s="14" t="str">
        <x:v>Not started</x:v>
      </x:c>
    </x:row>
    <x:row r="5" ht="38" customHeight="1">
      <x:c r="A5" s="14" t="str">
        <x:v>Full Mock 3</x:v>
      </x:c>
      <x:c r="B5" s="14" t="str">
        <x:v>Week 17</x:v>
      </x:c>
      <x:c r="C5" s="18" t="n">
        <x:v>46435</x:v>
      </x:c>
      <x:c r="D5" s="14"/>
      <x:c r="E5" s="14"/>
      <x:c r="F5" s="14" t="str"/>
      <x:c r="G5" s="14" t="str"/>
      <x:c r="H5" s="14" t="str"/>
      <x:c r="I5" s="14" t="str"/>
      <x:c r="J5" s="14" t="str">
        <x:v>Not started</x:v>
      </x:c>
    </x:row>
    <x:row r="6" ht="38" customHeight="1">
      <x:c r="A6" s="14" t="str">
        <x:v>Full Mock 4</x:v>
      </x:c>
      <x:c r="B6" s="14" t="str">
        <x:v>Week 18</x:v>
      </x:c>
      <x:c r="C6" s="18" t="n">
        <x:v>46442</x:v>
      </x:c>
      <x:c r="D6" s="14"/>
      <x:c r="E6" s="14"/>
      <x:c r="F6" s="14" t="str"/>
      <x:c r="G6" s="14" t="str"/>
      <x:c r="H6" s="14" t="str"/>
      <x:c r="I6" s="14" t="str"/>
      <x:c r="J6" s="14" t="str">
        <x:v>Not started</x:v>
      </x:c>
    </x:row>
    <x:row r="7" ht="38" customHeight="1">
      <x:c r="A7" s="14" t="str">
        <x:v>Full Mock 5</x:v>
      </x:c>
      <x:c r="B7" s="14" t="str">
        <x:v>Week 19</x:v>
      </x:c>
      <x:c r="C7" s="18" t="n">
        <x:v>46449</x:v>
      </x:c>
      <x:c r="D7" s="14"/>
      <x:c r="E7" s="14"/>
      <x:c r="F7" s="14" t="str"/>
      <x:c r="G7" s="14" t="str"/>
      <x:c r="H7" s="14" t="str"/>
      <x:c r="I7" s="14" t="str"/>
      <x:c r="J7" s="14" t="str">
        <x:v>Not started</x:v>
      </x:c>
    </x:row>
    <x:row r="8" ht="38" customHeight="1">
      <x:c r="A8" s="14" t="str">
        <x:v>Full Mock 6</x:v>
      </x:c>
      <x:c r="B8" s="14" t="str">
        <x:v>Week 20</x:v>
      </x:c>
      <x:c r="C8" s="18" t="n">
        <x:v>46456</x:v>
      </x:c>
      <x:c r="D8" s="14"/>
      <x:c r="E8" s="14"/>
      <x:c r="F8" s="14" t="str"/>
      <x:c r="G8" s="14" t="str"/>
      <x:c r="H8" s="14" t="str"/>
      <x:c r="I8" s="14" t="str"/>
      <x:c r="J8" s="14" t="str">
        <x:v>Not started</x:v>
      </x:c>
    </x:row>
    <x:row r="9" ht="38" customHeight="1">
      <x:c r="A9" s="14" t="str">
        <x:v>Full Mock 7</x:v>
      </x:c>
      <x:c r="B9" s="14" t="str">
        <x:v>Week 21</x:v>
      </x:c>
      <x:c r="C9" s="18" t="n">
        <x:v>46463</x:v>
      </x:c>
      <x:c r="D9" s="14"/>
      <x:c r="E9" s="14"/>
      <x:c r="F9" s="14" t="str"/>
      <x:c r="G9" s="14" t="str"/>
      <x:c r="H9" s="14" t="str"/>
      <x:c r="I9" s="14" t="str"/>
      <x:c r="J9" s="14" t="str">
        <x:v>Not started</x:v>
      </x:c>
    </x:row>
    <x:row r="10" ht="38" customHeight="1">
      <x:c r="A10" s="14" t="str">
        <x:v>Full Mock 8</x:v>
      </x:c>
      <x:c r="B10" s="14" t="str">
        <x:v>Week 22</x:v>
      </x:c>
      <x:c r="C10" s="18" t="n">
        <x:v>46470</x:v>
      </x:c>
      <x:c r="D10" s="14"/>
      <x:c r="E10" s="14"/>
      <x:c r="F10" s="14" t="str"/>
      <x:c r="G10" s="14" t="str"/>
      <x:c r="H10" s="14" t="str"/>
      <x:c r="I10" s="14" t="str"/>
      <x:c r="J10" s="14" t="str">
        <x:v>Not started</x:v>
      </x:c>
    </x:row>
    <x:row r="11" ht="38" customHeight="1">
      <x:c r="A11" s="14" t="str">
        <x:v>Full Mock 9</x:v>
      </x:c>
      <x:c r="B11" s="14" t="str">
        <x:v>Week 23</x:v>
      </x:c>
      <x:c r="C11" s="18" t="n">
        <x:v>46477</x:v>
      </x:c>
      <x:c r="D11" s="14"/>
      <x:c r="E11" s="14"/>
      <x:c r="F11" s="14" t="str"/>
      <x:c r="G11" s="14" t="str"/>
      <x:c r="H11" s="14" t="str"/>
      <x:c r="I11" s="14" t="str"/>
      <x:c r="J11" s="14" t="str">
        <x:v>Not started</x:v>
      </x:c>
    </x:row>
    <x:row r="12" ht="38" customHeight="1">
      <x:c r="A12" s="14" t="str">
        <x:v>Full Mock 10</x:v>
      </x:c>
      <x:c r="B12" s="14" t="str">
        <x:v>Week 24</x:v>
      </x:c>
      <x:c r="C12" s="18" t="n">
        <x:v>46484</x:v>
      </x:c>
      <x:c r="D12" s="14"/>
      <x:c r="E12" s="14"/>
      <x:c r="F12" s="14" t="str"/>
      <x:c r="G12" s="14" t="str"/>
      <x:c r="H12" s="14" t="str"/>
      <x:c r="I12" s="14" t="str"/>
      <x:c r="J12" s="14" t="str">
        <x:v>Not started</x:v>
      </x:c>
    </x:row>
    <x:row r="13" ht="38" customHeight="1">
      <x:c r="A13" s="14" t="str">
        <x:v>Full Mock 11</x:v>
      </x:c>
      <x:c r="B13" s="14" t="str">
        <x:v>Week 25</x:v>
      </x:c>
      <x:c r="C13" s="18" t="n">
        <x:v>46491</x:v>
      </x:c>
      <x:c r="D13" s="14"/>
      <x:c r="E13" s="14"/>
      <x:c r="F13" s="14" t="str"/>
      <x:c r="G13" s="14" t="str"/>
      <x:c r="H13" s="14" t="str"/>
      <x:c r="I13" s="14" t="str"/>
      <x:c r="J13" s="14" t="str">
        <x:v>Not started</x:v>
      </x:c>
    </x:row>
    <x:row r="14" ht="38" customHeight="1">
      <x:c r="A14" s="14" t="str">
        <x:v>Full Mock 12</x:v>
      </x:c>
      <x:c r="B14" s="14" t="str">
        <x:v>Week 26</x:v>
      </x:c>
      <x:c r="C14" s="18" t="n">
        <x:v>46498</x:v>
      </x:c>
      <x:c r="D14" s="14"/>
      <x:c r="E14" s="14"/>
      <x:c r="F14" s="14" t="str"/>
      <x:c r="G14" s="14" t="str"/>
      <x:c r="H14" s="14" t="str"/>
      <x:c r="I14" s="14" t="str"/>
      <x:c r="J14" s="14" t="str">
        <x:v>Not started</x:v>
      </x:c>
    </x:row>
    <x:row r="15" ht="38" customHeight="1">
      <x:c r="A15" s="14" t="str">
        <x:v>Full Mock 13</x:v>
      </x:c>
      <x:c r="B15" s="14" t="str">
        <x:v>Week 27</x:v>
      </x:c>
      <x:c r="C15" s="18" t="n">
        <x:v>46505</x:v>
      </x:c>
      <x:c r="D15" s="14"/>
      <x:c r="E15" s="14"/>
      <x:c r="F15" s="14" t="str"/>
      <x:c r="G15" s="14" t="str"/>
      <x:c r="H15" s="14" t="str"/>
      <x:c r="I15" s="14" t="str"/>
      <x:c r="J15" s="14" t="str">
        <x:v>Not started</x:v>
      </x:c>
    </x:row>
    <x:row r="16" ht="38" customHeight="1">
      <x:c r="A16" s="14" t="str">
        <x:v>Full Mock 14</x:v>
      </x:c>
      <x:c r="B16" s="14" t="str">
        <x:v>Week 28</x:v>
      </x:c>
      <x:c r="C16" s="18" t="n">
        <x:v>46512</x:v>
      </x:c>
      <x:c r="D16" s="14"/>
      <x:c r="E16" s="14"/>
      <x:c r="F16" s="14" t="str"/>
      <x:c r="G16" s="14" t="str"/>
      <x:c r="H16" s="14" t="str"/>
      <x:c r="I16" s="14" t="str"/>
      <x:c r="J16" s="14" t="str">
        <x:v>Not started</x:v>
      </x:c>
    </x:row>
  </x:sheetData>
  <x:conditionalFormatting sqref="J2:J16">
    <x:cfRule type="expression" dxfId="2" priority="1">
      <x:formula>J2="Reviewed"</x:formula>
    </x:cfRule>
    <x:cfRule type="expression" dxfId="3" priority="2">
      <x:formula>J2="Attempted"</x:formula>
    </x:cfRule>
  </x:conditionalFormatting>
  <x:dataValidations count="1">
    <x:dataValidation type="list" sqref="J2:J16">
      <x:formula1>"Not started,Attempted,Reviewed"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e91bfa05dd4ac6"/>
  </x:tableParts>
</x:worksheet>
</file>