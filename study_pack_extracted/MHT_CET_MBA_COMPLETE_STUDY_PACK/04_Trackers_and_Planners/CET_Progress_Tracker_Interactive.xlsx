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ca36185c2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0088447a4f84a91"/>
    <x:sheet xmlns:r="http://schemas.openxmlformats.org/officeDocument/2006/relationships" name="Dashboard" sheetId="2" r:id="R37762daa9a1647db"/>
    <x:sheet xmlns:r="http://schemas.openxmlformats.org/officeDocument/2006/relationships" name="24-Week Plan" sheetId="3" r:id="R966e02a43b1749c4"/>
    <x:sheet xmlns:r="http://schemas.openxmlformats.org/officeDocument/2006/relationships" name="Topic Tracker" sheetId="4" r:id="R6a8db5541e1448ef"/>
    <x:sheet xmlns:r="http://schemas.openxmlformats.org/officeDocument/2006/relationships" name="Daily Log" sheetId="5" r:id="R538a02a5680e4ab1"/>
    <x:sheet xmlns:r="http://schemas.openxmlformats.org/officeDocument/2006/relationships" name="Mock Tracker" sheetId="6" r:id="Re70a11f5e173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"/>
    <x:numFmt numFmtId="203" formatCode="dd mmm yyyy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243447"/>
      <x:name val="Carlito"/>
    </x:font>
    <x:font>
      <x:b/>
      <x:sz val="12"/>
      <x:color rgb="FFFFFFFF"/>
      <x:name val="Carlito"/>
    </x:font>
    <x:font>
      <x:b/>
      <x:sz val="11"/>
      <x:color rgb="FF15304B"/>
      <x:name val="Carlito"/>
    </x:font>
    <x:font>
      <x:b/>
      <x:sz val="11"/>
      <x:color rgb="FF243447"/>
      <x:name val="Carlito"/>
    </x:font>
    <x:font>
      <x:sz val="11"/>
      <x:color rgb="FF243447"/>
      <x:name val="Carlito"/>
    </x:font>
    <x:font>
      <x:b/>
      <x:sz val="10"/>
      <x:color rgb="FFFFFFFF"/>
      <x:name val="Carlito"/>
    </x:font>
    <x:font>
      <x:b/>
      <x:sz val="19"/>
      <x:color rgb="FF15304B"/>
      <x:name val="Carlito"/>
    </x:font>
    <x:font>
      <x:b/>
      <x:sz val="19"/>
      <x:color rgb="FFFFFFFF"/>
      <x:name val="Carlito"/>
    </x:font>
    <x:font>
      <x:b/>
      <x:sz val="11"/>
      <x:color rgb="FFFFFFFF"/>
      <x:name val="Carlito"/>
    </x:font>
    <x:font>
      <x:sz val="9"/>
      <x:color rgb="FF243447"/>
      <x:name val="Carlito"/>
    </x:font>
    <x:font>
      <x:b/>
      <x:sz val="9"/>
      <x:color rgb="FF15304B"/>
      <x:name val="Carlito"/>
    </x:font>
    <x:font>
      <x:sz val="10"/>
      <x:color rgb="FF243447"/>
      <x:name val="Carlito"/>
    </x:font>
    <x:font>
      <x:b/>
      <x:sz val="10"/>
      <x:color rgb="FF5C6F82"/>
      <x:name val="Carlito"/>
    </x:font>
    <x:font>
      <x:sz val="10"/>
      <x:color rgb="FF15304B"/>
      <x:name val="Carlito"/>
    </x:font>
    <x:font>
      <x:sz val="11"/>
      <x:color rgb="FF1530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04B"/>
      </x:patternFill>
    </x:fill>
    <x:fill>
      <x:patternFill patternType="solid">
        <x:fgColor rgb="FFDDF3F0"/>
      </x:patternFill>
    </x:fill>
    <x:fill>
      <x:patternFill patternType="solid">
        <x:fgColor rgb="FF0F8B8D"/>
      </x:patternFill>
    </x:fill>
    <x:fill>
      <x:patternFill patternType="solid">
        <x:fgColor rgb="FFFCE8DD"/>
      </x:patternFill>
    </x:fill>
    <x:fill>
      <x:patternFill patternType="solid">
        <x:fgColor rgb="FFF3F7FA"/>
      </x:patternFill>
    </x:fill>
    <x:fill>
      <x:patternFill patternType="solid">
        <x:fgColor rgb="FFEAF5FF"/>
      </x:patternFill>
    </x:fill>
  </x:fills>
  <x:borders count="2">
    <x:border/>
    <x:border/>
  </x:borders>
  <x:cellStyleXfs count="1">
    <x:xf numFmtId="0" fontId="0" fillId="0" borderId="0"/>
  </x:cellStyleXfs>
  <x:cellXfs count="2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0" fontId="8" fillId="3" borderId="0" xfId="0" applyNumberFormat="1" applyFont="1" applyFill="1" applyBorder="1"/>
    <x:xf numFmtId="200" fontId="8" fillId="3" borderId="0" xfId="0" applyNumberFormat="1" applyFont="1" applyFill="1" applyBorder="1" applyAlignment="1">
      <x:alignment horizontal="center"/>
    </x:xf>
    <x:xf numFmtId="200" fontId="8" fillId="3" borderId="0" xfId="0" applyNumberFormat="1" applyFont="1" applyFill="1" applyBorder="1" applyAlignment="1">
      <x:alignment horizontal="center" vertical="center"/>
    </x:xf>
    <x:xf numFmtId="200" fontId="0" fillId="3" borderId="1" xfId="0" applyNumberFormat="1" applyFont="1" applyFill="1" applyBorder="1"/>
    <x:xf numFmtId="200" fontId="8" fillId="3" borderId="1" xfId="0" applyNumberFormat="1" applyFont="1" applyFill="1" applyBorder="1"/>
    <x:xf numFmtId="200" fontId="8" fillId="3" borderId="1" xfId="0" applyNumberFormat="1" applyFont="1" applyFill="1" applyBorder="1" applyAlignment="1">
      <x:alignment horizontal="center"/>
    </x:xf>
    <x:xf numFmtId="200" fontId="8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8" fillId="3" borderId="0" xfId="0" applyNumberFormat="1" applyFont="1" applyFill="1" applyBorder="1"/>
    <x:xf numFmtId="201" fontId="8" fillId="3" borderId="0" xfId="0" applyNumberFormat="1" applyFont="1" applyFill="1" applyBorder="1" applyAlignment="1">
      <x:alignment horizontal="center"/>
    </x:xf>
    <x:xf numFmtId="201" fontId="8" fillId="3" borderId="0" xfId="0" applyNumberFormat="1" applyFont="1" applyFill="1" applyBorder="1" applyAlignment="1">
      <x:alignment horizontal="center" vertical="center"/>
    </x:xf>
    <x:xf numFmtId="201" fontId="0" fillId="3" borderId="1" xfId="0" applyNumberFormat="1" applyFont="1" applyFill="1" applyBorder="1"/>
    <x:xf numFmtId="201" fontId="8" fillId="3" borderId="1" xfId="0" applyNumberFormat="1" applyFont="1" applyFill="1" applyBorder="1"/>
    <x:xf numFmtId="201" fontId="8" fillId="3" borderId="1" xfId="0" applyNumberFormat="1" applyFont="1" applyFill="1" applyBorder="1" applyAlignment="1">
      <x:alignment horizontal="center"/>
    </x:xf>
    <x:xf numFmtId="201" fontId="8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0" xfId="0" applyNumberFormat="1" applyFont="1" applyFill="1" applyBorder="1"/>
    <x:xf numFmtId="202" fontId="8" fillId="3" borderId="0" xfId="0" applyNumberFormat="1" applyFont="1" applyFill="1" applyBorder="1"/>
    <x:xf numFmtId="202" fontId="8" fillId="3" borderId="0" xfId="0" applyNumberFormat="1" applyFont="1" applyFill="1" applyBorder="1" applyAlignment="1">
      <x:alignment horizontal="center"/>
    </x:xf>
    <x:xf numFmtId="202" fontId="8" fillId="3" borderId="0" xfId="0" applyNumberFormat="1" applyFont="1" applyFill="1" applyBorder="1" applyAlignment="1">
      <x:alignment horizontal="center" vertical="center"/>
    </x:xf>
    <x:xf numFmtId="202" fontId="0" fillId="3" borderId="1" xfId="0" applyNumberFormat="1" applyFont="1" applyFill="1" applyBorder="1"/>
    <x:xf numFmtId="202" fontId="8" fillId="3" borderId="1" xfId="0" applyNumberFormat="1" applyFont="1" applyFill="1" applyBorder="1"/>
    <x:xf numFmtId="202" fontId="8" fillId="3" borderId="1" xfId="0" applyNumberFormat="1" applyFont="1" applyFill="1" applyBorder="1" applyAlignment="1">
      <x:alignment horizontal="center"/>
    </x:xf>
    <x:xf numFmtId="202" fontId="8" fillId="3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1" fillId="0" borderId="0" xfId="0" applyNumberFormat="1" applyFont="1" applyFill="1" applyBorder="1"/>
    <x:xf numFmtId="203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203" fontId="11" fillId="0" borderId="1" xfId="0" applyNumberFormat="1" applyFont="1" applyFill="1" applyBorder="1"/>
    <x:xf numFmtId="201" fontId="11" fillId="0" borderId="1" xfId="0" applyNumberFormat="1" applyFont="1" applyFill="1" applyBorder="1"/>
    <x:xf numFmtId="20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203" fontId="11" fillId="0" borderId="1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203" fontId="11" fillId="0" borderId="1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201" fontId="11" fillId="3" borderId="0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  <x:xf numFmtId="201" fontId="12" fillId="3" borderId="0" xfId="0" applyNumberFormat="1" applyFont="1" applyFill="1" applyBorder="1" applyAlignment="1">
      <x:alignment vertical="center" wrapText="1"/>
    </x:xf>
    <x:xf numFmtId="200" fontId="12" fillId="3" borderId="0" xfId="0" applyNumberFormat="1" applyFont="1" applyFill="1" applyBorder="1" applyAlignment="1">
      <x:alignment vertical="center" wrapText="1"/>
    </x:xf>
    <x:xf numFmtId="201" fontId="12" fillId="3" borderId="0" xfId="0" applyNumberFormat="1" applyFont="1" applyFill="1" applyBorder="1" applyAlignment="1">
      <x:alignment horizontal="center" vertical="center" wrapText="1"/>
    </x:xf>
    <x:xf numFmtId="200" fontId="12" fillId="3" borderId="0" xfId="0" applyNumberFormat="1" applyFont="1" applyFill="1" applyBorder="1" applyAlignment="1">
      <x:alignment horizontal="center" vertical="center" wrapText="1"/>
    </x:xf>
    <x:xf numFmtId="201" fontId="11" fillId="3" borderId="1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201" fontId="12" fillId="3" borderId="1" xfId="0" applyNumberFormat="1" applyFont="1" applyFill="1" applyBorder="1" applyAlignment="1">
      <x:alignment vertical="center" wrapText="1"/>
    </x:xf>
    <x:xf numFmtId="200" fontId="12" fillId="3" borderId="1" xfId="0" applyNumberFormat="1" applyFont="1" applyFill="1" applyBorder="1" applyAlignment="1">
      <x:alignment vertical="center" wrapText="1"/>
    </x:xf>
    <x:xf numFmtId="201" fontId="12" fillId="3" borderId="1" xfId="0" applyNumberFormat="1" applyFont="1" applyFill="1" applyBorder="1" applyAlignment="1">
      <x:alignment horizontal="center" vertical="center" wrapText="1"/>
    </x:xf>
    <x:xf numFmtId="200" fontId="12" fillId="3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20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/>
    <x:xf numFmtId="20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20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200" fontId="13" fillId="7" borderId="0" xfId="0" applyNumberFormat="1" applyFont="1" applyFill="1" applyBorder="1" applyAlignment="1">
      <x:alignment vertical="center" wrapText="1"/>
    </x:xf>
    <x:xf numFmtId="200" fontId="13" fillId="7" borderId="1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/>
    <x:xf numFmtId="0" fontId="0" fillId="7" borderId="0" xfId="0" applyNumberFormat="1" applyFont="1" applyFill="1" applyBorder="1"/>
    <x:xf numFmtId="203" fontId="15" fillId="7" borderId="0" xfId="0" applyNumberFormat="1" applyFont="1" applyFill="1" applyBorder="1"/>
    <x:xf numFmtId="0" fontId="15" fillId="7" borderId="0" xfId="0" applyNumberFormat="1" applyFont="1" applyFill="1" applyBorder="1"/>
    <x:xf numFmtId="203" fontId="15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  <x:xf numFmtId="203" fontId="15" fillId="7" borderId="0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/>
    <x:xf numFmtId="0" fontId="0" fillId="7" borderId="1" xfId="0" applyNumberFormat="1" applyFont="1" applyFill="1" applyBorder="1"/>
    <x:xf numFmtId="203" fontId="15" fillId="7" borderId="1" xfId="0" applyNumberFormat="1" applyFont="1" applyFill="1" applyBorder="1"/>
    <x:xf numFmtId="0" fontId="15" fillId="7" borderId="1" xfId="0" applyNumberFormat="1" applyFont="1" applyFill="1" applyBorder="1"/>
    <x:xf numFmtId="203" fontId="15" fillId="7" borderId="1" xfId="0" applyNumberFormat="1" applyFont="1" applyFill="1" applyBorder="1" applyAlignment="1">
      <x:alignment wrapText="1"/>
    </x:xf>
    <x:xf numFmtId="0" fontId="15" fillId="7" borderId="1" xfId="0" applyNumberFormat="1" applyFont="1" applyFill="1" applyBorder="1" applyAlignment="1">
      <x:alignment wrapText="1"/>
    </x:xf>
    <x:xf numFmtId="203" fontId="15" fillId="7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horizontal="center"/>
    </x:xf>
    <x:xf numFmtId="0" fontId="16" fillId="7" borderId="1" xfId="0" applyNumberFormat="1" applyFont="1" applyFill="1" applyBorder="1"/>
    <x:xf numFmtId="0" fontId="16" fillId="7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3" fontId="16" fillId="7" borderId="0" xfId="0" applyNumberFormat="1" applyFont="1" applyFill="1" applyBorder="1"/>
    <x:xf numFmtId="203" fontId="16" fillId="7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wrapText="1"/>
    </x:xf>
    <x:xf numFmtId="203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3" fontId="16" fillId="7" borderId="1" xfId="0" applyNumberFormat="1" applyFont="1" applyFill="1" applyBorder="1"/>
    <x:xf numFmtId="203" fontId="16" fillId="7" borderId="1" xfId="0" applyNumberFormat="1" applyFont="1" applyFill="1" applyBorder="1" applyAlignment="1">
      <x:alignment wrapText="1"/>
    </x:xf>
    <x:xf numFmtId="0" fontId="16" fillId="7" borderId="1" xfId="0" applyNumberFormat="1" applyFont="1" applyFill="1" applyBorder="1" applyAlignment="1">
      <x:alignment wrapText="1"/>
    </x:xf>
    <x:xf numFmtId="203" fontId="16" fillId="7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D9EFD9"/>
        </x:patternFill>
      </x:fill>
    </x:dxf>
    <x:dxf>
      <x:fill>
        <x:patternFill patternType="solid">
          <x:bgColor rgb="FFFCE1E1"/>
        </x:patternFill>
      </x:fill>
    </x:dxf>
    <x:dxf>
      <x:fill>
        <x:patternFill patternType="solid">
          <x:bgColor rgb="FFD9EFD9"/>
        </x:patternFill>
      </x:fill>
    </x:dxf>
    <x:dxf>
      <x:fill>
        <x:patternFill patternType="solid">
          <x:bgColor rgb="FFFCE1E1"/>
        </x:patternFill>
      </x:fill>
    </x:dxf>
    <x:dxf>
      <x:fill>
        <x:patternFill patternType="solid">
          <x:bgColor rgb="FFFFF1C7"/>
        </x:patternFill>
      </x:fill>
    </x:dxf>
    <x:dxf>
      <x:fill>
        <x:patternFill patternType="solid">
          <x:bgColor rgb="FFD9EFD9"/>
        </x:patternFill>
      </x:fill>
    </x:dxf>
    <x:dxf>
      <x:fill>
        <x:patternFill patternType="solid">
          <x:bgColor rgb="FFDD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8a737fd4a4509" /><Relationship Type="http://schemas.openxmlformats.org/officeDocument/2006/relationships/theme" Target="/xl/theme/theme1.xml" Id="R71f44a396afa4a0b" /><Relationship Type="http://schemas.openxmlformats.org/officeDocument/2006/relationships/sharedStrings" Target="/xl/sharedStrings.xml" Id="R736812a1a60a4478" /><Relationship Type="http://schemas.openxmlformats.org/officeDocument/2006/relationships/worksheet" Target="/xl/worksheets/sheet1.xml" Id="R00088447a4f84a91" /><Relationship Type="http://schemas.openxmlformats.org/officeDocument/2006/relationships/worksheet" Target="/xl/worksheets/sheet2.xml" Id="R37762daa9a1647db" /><Relationship Type="http://schemas.openxmlformats.org/officeDocument/2006/relationships/worksheet" Target="/xl/worksheets/sheet3.xml" Id="R966e02a43b1749c4" /><Relationship Type="http://schemas.openxmlformats.org/officeDocument/2006/relationships/worksheet" Target="/xl/worksheets/sheet4.xml" Id="R6a8db5541e1448ef" /><Relationship Type="http://schemas.openxmlformats.org/officeDocument/2006/relationships/worksheet" Target="/xl/worksheets/sheet5.xml" Id="R538a02a5680e4ab1" /><Relationship Type="http://schemas.openxmlformats.org/officeDocument/2006/relationships/worksheet" Target="/xl/worksheets/sheet6.xml" Id="Re70a11f5e173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6" t="str">
        <x:v>MAH MBA/MMS CET 2027 | STUDY COMPANION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A friendly, editable system to plan study, record effort, and see progress without guessing.</x:v>
      </x:c>
      <x:c r="B3" s="16"/>
      <x:c r="C3" s="16"/>
      <x:c r="D3" s="16"/>
      <x:c r="E3" s="16"/>
      <x:c r="F3" s="16"/>
      <x:c r="G3" s="16"/>
      <x:c r="H3" s="16"/>
    </x:row>
    <x:row r="5">
      <x:c r="A5" s="24" t="str">
        <x:v>START HERE — 5-MINUTE SETUP</x:v>
      </x:c>
      <x:c r="B5" s="24"/>
      <x:c r="C5" s="24"/>
      <x:c r="D5" s="24"/>
      <x:c r="E5" s="24"/>
      <x:c r="F5" s="24"/>
      <x:c r="G5" s="24"/>
      <x:c r="H5" s="24"/>
    </x:row>
    <x:row r="7" ht="38" customHeight="1">
      <x:c r="A7" s="33" t="str">
        <x:v>1</x:v>
      </x:c>
      <x:c r="B7" s="39" t="str">
        <x:v>Open Dashboard</x:v>
      </x:c>
      <x:c r="C7" s="43" t="str">
        <x:v>Your headline numbers update from the other tabs as you enter study records.</x:v>
      </x:c>
    </x:row>
    <x:row r="8" ht="38" customHeight="1">
      <x:c r="A8" s="33" t="str">
        <x:v>2</x:v>
      </x:c>
      <x:c r="B8" s="39" t="str">
        <x:v>Set chapter status</x:v>
      </x:c>
      <x:c r="C8" s="43" t="str">
        <x:v>In Topic Tracker, choose Not Started / In Progress / Done for each topic and rate confidence from 1 to 5.</x:v>
      </x:c>
    </x:row>
    <x:row r="9" ht="38" customHeight="1">
      <x:c r="A9" s="33" t="str">
        <x:v>3</x:v>
      </x:c>
      <x:c r="B9" s="39" t="str">
        <x:v>Log each study session</x:v>
      </x:c>
      <x:c r="C9" s="43" t="str">
        <x:v>In Daily Log, use one row per session. Enter date, week number, subject, task, minutes, questions attempted/correct, status and notes.</x:v>
      </x:c>
    </x:row>
    <x:row r="10" ht="38" customHeight="1">
      <x:c r="A10" s="33" t="str">
        <x:v>4</x:v>
      </x:c>
      <x:c r="B10" s="39" t="str">
        <x:v>Record tests</x:v>
      </x:c>
      <x:c r="C10" s="43" t="str">
        <x:v>In Mock Tracker, enter the score, time, and section-wise observations after every diagnostic, sectional test or mock.</x:v>
      </x:c>
    </x:row>
    <x:row r="11" ht="38" customHeight="1">
      <x:c r="A11" s="33" t="str">
        <x:v>5</x:v>
      </x:c>
      <x:c r="B11" s="39" t="str">
        <x:v>Check the weekly plan</x:v>
      </x:c>
      <x:c r="C11" s="43" t="str">
        <x:v>The 24-Week Plan shows week dates and focus areas. Weekly logged-session completion updates from Daily Log.</x:v>
      </x:c>
    </x:row>
    <x:row r="12" ht="38" customHeight="1">
      <x:c r="A12" s="33" t="str">
        <x:v>6</x:v>
      </x:c>
      <x:c r="B12" s="39" t="str">
        <x:v>Use the error loop</x:v>
      </x:c>
      <x:c r="C12" s="43" t="str">
        <x:v>For every mistake, write WHY it happened and the exact fix. Reattempt the question after 2–3 days.</x:v>
      </x:c>
    </x:row>
    <x:row r="14">
      <x:c r="A14" s="24" t="str">
        <x:v>HOW TO KEEP IT WORKING</x:v>
      </x:c>
      <x:c r="B14" s="24"/>
      <x:c r="C14" s="24"/>
      <x:c r="D14" s="24"/>
      <x:c r="E14" s="24"/>
      <x:c r="F14" s="24"/>
      <x:c r="G14" s="24"/>
      <x:c r="H14" s="24"/>
    </x:row>
    <x:row r="16" ht="23" customHeight="1">
      <x:c r="A16" s="49" t="str">
        <x:v>• Edit only the light-blue cells and dropdowns; formula cells calculate automatically.
• Use “Done” only after concept review, examples, practice and error review are complete.
• The dashboard updates as you change statuses or add session/test rows.
• Keep a copy in OneDrive/Google Drive only if you want syncing across devices; this workbook itself does not sync automatically.
• Exam date and 2027 rules are not confirmed here. This is a provisional plan based on the latest official 2026 pattern.</x:v>
      </x:c>
      <x:c r="B16" s="49"/>
      <x:c r="C16" s="49"/>
      <x:c r="D16" s="49"/>
      <x:c r="E16" s="49"/>
      <x:c r="F16" s="49"/>
      <x:c r="G16" s="49"/>
      <x:c r="H16" s="49"/>
    </x:row>
    <x:row r="17" ht="23" customHeight="1">
      <x:c r="A17" s="49"/>
      <x:c r="B17" s="49"/>
      <x:c r="C17" s="49"/>
      <x:c r="D17" s="49"/>
      <x:c r="E17" s="49"/>
      <x:c r="F17" s="49"/>
      <x:c r="G17" s="49"/>
      <x:c r="H17" s="49"/>
    </x:row>
    <x:row r="18" ht="23" customHeight="1">
      <x:c r="A18" s="49"/>
      <x:c r="B18" s="49"/>
      <x:c r="C18" s="49"/>
      <x:c r="D18" s="49"/>
      <x:c r="E18" s="49"/>
      <x:c r="F18" s="49"/>
      <x:c r="G18" s="49"/>
      <x:c r="H18" s="49"/>
    </x:row>
    <x:row r="19" ht="23" customHeight="1">
      <x:c r="A19" s="49"/>
      <x:c r="B19" s="49"/>
      <x:c r="C19" s="49"/>
      <x:c r="D19" s="49"/>
      <x:c r="E19" s="49"/>
      <x:c r="F19" s="49"/>
      <x:c r="G19" s="49"/>
      <x:c r="H19" s="49"/>
    </x:row>
    <x:row r="20" ht="23" customHeight="1">
      <x:c r="A20" s="49"/>
      <x:c r="B20" s="49"/>
      <x:c r="C20" s="49"/>
      <x:c r="D20" s="49"/>
      <x:c r="E20" s="49"/>
      <x:c r="F20" s="49"/>
      <x:c r="G20" s="49"/>
      <x:c r="H20" s="49"/>
    </x:row>
    <x:row r="22">
      <x:c r="A22" s="24" t="str">
        <x:v>WEEKLY RHYTHM</x:v>
      </x:c>
      <x:c r="B22" s="24"/>
      <x:c r="C22" s="24"/>
      <x:c r="D22" s="24"/>
      <x:c r="E22" s="24"/>
      <x:c r="F22" s="24"/>
      <x:c r="G22" s="24"/>
      <x:c r="H22" s="24"/>
    </x:row>
    <x:row r="24">
      <x:c r="A24" s="56" t="str">
        <x:v>Mon–Thu</x:v>
      </x:c>
      <x:c r="B24" s="39" t="str">
        <x:v>Learn + practise</x:v>
      </x:c>
      <x:c r="C24" s="43" t="str">
        <x:v>Quant 50 min • LR/AR 50 min • VARC 20 min • error log 15 min</x:v>
      </x:c>
    </x:row>
    <x:row r="25">
      <x:c r="A25" s="56" t="str">
        <x:v>Friday</x:v>
      </x:c>
      <x:c r="B25" s="39" t="str">
        <x:v>Catch-up + mixed practice</x:v>
      </x:c>
      <x:c r="C25" s="43" t="str">
        <x:v>Finish unfinished work and solve a mixed set; do not keep moving half-finished chapters.</x:v>
      </x:c>
    </x:row>
    <x:row r="26">
      <x:c r="A26" s="56" t="str">
        <x:v>Saturday</x:v>
      </x:c>
      <x:c r="B26" s="39" t="str">
        <x:v>Timed test + review</x:v>
      </x:c>
      <x:c r="C26" s="43" t="str">
        <x:v>Attempt the planned test, then analyse wrong, guessed and slow questions.</x:v>
      </x:c>
    </x:row>
    <x:row r="27">
      <x:c r="A27" s="56" t="str">
        <x:v>Sunday</x:v>
      </x:c>
      <x:c r="B27" s="39" t="str">
        <x:v>Rest / light catch-up</x:v>
      </x:c>
      <x:c r="C27" s="43" t="str">
        <x:v>Rest. If behind, fix one high-priority item for 30 minutes.</x:v>
      </x:c>
    </x:row>
    <x:row r="29">
      <x:c r="A29" s="24" t="str">
        <x:v>EXAM REFERENCE (PROVISIONAL)</x:v>
      </x:c>
      <x:c r="B29" s="24"/>
      <x:c r="C29" s="24"/>
      <x:c r="D29" s="24"/>
      <x:c r="E29" s="24"/>
      <x:c r="F29" s="24"/>
      <x:c r="G29" s="24"/>
      <x:c r="H29" s="24"/>
    </x:row>
    <x:row r="31" ht="23" customHeight="1">
      <x:c r="A31" s="63" t="str">
        <x:v>The official 2026 brochure lists 200 questions in 150 minutes: Logical Reasoning 75, Abstract Reasoning 25, Quantitative Aptitude 50, and Verbal Ability/Reading Comprehension 50; English medium and no negative marking. Do not treat the 2026 rules or expected dates as guaranteed for the 2027 cycle. Verify the official CET Cell brochure when released.</x:v>
      </x:c>
      <x:c r="B31" s="63"/>
      <x:c r="C31" s="63"/>
      <x:c r="D31" s="63"/>
      <x:c r="E31" s="63"/>
      <x:c r="F31" s="63"/>
      <x:c r="G31" s="63"/>
      <x:c r="H31" s="63"/>
    </x:row>
    <x:row r="32" ht="23" customHeight="1">
      <x:c r="A32" s="63"/>
      <x:c r="B32" s="63"/>
      <x:c r="C32" s="63"/>
      <x:c r="D32" s="63"/>
      <x:c r="E32" s="63"/>
      <x:c r="F32" s="63"/>
      <x:c r="G32" s="63"/>
      <x:c r="H32" s="63"/>
    </x:row>
    <x:row r="33" ht="23" customHeight="1">
      <x:c r="A33" s="63"/>
      <x:c r="B33" s="63"/>
      <x:c r="C33" s="63"/>
      <x:c r="D33" s="63"/>
      <x:c r="E33" s="63"/>
      <x:c r="F33" s="63"/>
      <x:c r="G33" s="63"/>
      <x:c r="H33" s="63"/>
    </x:row>
  </x:sheetData>
  <x:mergeCells>
    <x:mergeCell ref="A1:H2"/>
    <x:mergeCell ref="A3:H3"/>
    <x:mergeCell ref="A5:H5"/>
    <x:mergeCell ref="A14:H14"/>
    <x:mergeCell ref="A16:H20"/>
    <x:mergeCell ref="A22:H22"/>
    <x:mergeCell ref="A29:H29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08" t="str">
        <x:v>HER CET JOURNEY | PROGRESS DASHBOARD</x:v>
      </x:c>
      <x:c r="B1" s="108"/>
      <x:c r="C1" s="108"/>
      <x:c r="D1" s="108"/>
      <x:c r="E1" s="108"/>
      <x:c r="F1" s="108"/>
      <x:c r="G1" s="108"/>
      <x:c r="H1" s="108"/>
    </x:row>
    <x:row r="2">
      <x:c r="A2" s="108"/>
      <x:c r="B2" s="108"/>
      <x:c r="C2" s="108"/>
      <x:c r="D2" s="108"/>
      <x:c r="E2" s="108"/>
      <x:c r="F2" s="108"/>
      <x:c r="G2" s="108"/>
      <x:c r="H2" s="108"/>
    </x:row>
    <x:row r="3">
      <x:c r="A3" s="16" t="str">
        <x:v>Update Topic Tracker, Daily Log and Mock Tracker — this page calculates the big picture for you.</x:v>
      </x:c>
      <x:c r="B3" s="16"/>
      <x:c r="C3" s="16"/>
      <x:c r="D3" s="16"/>
      <x:c r="E3" s="16"/>
      <x:c r="F3" s="16"/>
      <x:c r="G3" s="16"/>
      <x:c r="H3" s="16"/>
    </x:row>
    <x:row r="5">
      <x:c r="A5" s="73" t="str">
        <x:v>TOPIC COMPLETION</x:v>
      </x:c>
      <x:c r="B5" s="73"/>
      <x:c r="C5" s="73" t="str">
        <x:v>STUDY SESSIONS</x:v>
      </x:c>
      <x:c r="D5" s="73"/>
      <x:c r="E5" s="73" t="str">
        <x:v>HOURS STUDIED</x:v>
      </x:c>
      <x:c r="F5" s="73"/>
      <x:c r="G5" s="73" t="str">
        <x:v>AVG QUESTION ACCURACY</x:v>
      </x:c>
      <x:c r="H5" s="73"/>
    </x:row>
    <x:row r="6" ht="27" customHeight="1">
      <x:c r="A6" s="81" t="n">
        <x:f>IFERROR(COUNTIF('Topic Tracker'!$F$2:$F$80,"Done")/COUNTA('Topic Tracker'!$C$2:$C$80),0)</x:f>
        <x:v>0</x:v>
      </x:c>
      <x:c r="B6" s="81"/>
      <x:c r="C6" s="91" t="n">
        <x:f>COUNTIF('Daily Log'!$A$2:$A$201,"&gt;0")</x:f>
        <x:v>0</x:v>
      </x:c>
      <x:c r="D6" s="91"/>
      <x:c r="E6" s="101" t="n">
        <x:f>SUM('Daily Log'!$F$2:$F$201)/60</x:f>
        <x:v>0</x:v>
      </x:c>
      <x:c r="F6" s="101"/>
      <x:c r="G6" s="81" t="n">
        <x:f>IFERROR(AVERAGE('Daily Log'!$I$2:$I$201),0)</x:f>
        <x:v>0</x:v>
      </x:c>
      <x:c r="H6" s="81"/>
    </x:row>
    <x:row r="7" ht="27" customHeight="1">
      <x:c r="A7" s="81"/>
      <x:c r="B7" s="81"/>
      <x:c r="C7" s="91"/>
      <x:c r="D7" s="91"/>
      <x:c r="E7" s="101"/>
      <x:c r="F7" s="101"/>
      <x:c r="G7" s="81"/>
      <x:c r="H7" s="81"/>
    </x:row>
    <x:row r="9">
      <x:c r="A9" s="73" t="str">
        <x:v>WEEKLY PLAN PROGRESS</x:v>
      </x:c>
      <x:c r="B9" s="73"/>
      <x:c r="C9" s="73" t="str">
        <x:v>TESTS WITH SCORES</x:v>
      </x:c>
      <x:c r="D9" s="73"/>
      <x:c r="E9" s="73" t="str">
        <x:v>BEST TEST %</x:v>
      </x:c>
      <x:c r="F9" s="73"/>
      <x:c r="G9" s="73" t="str">
        <x:v>SESSIONS MARKED DONE</x:v>
      </x:c>
      <x:c r="H9" s="73"/>
    </x:row>
    <x:row r="10" ht="27" customHeight="1">
      <x:c r="A10" s="81" t="n">
        <x:f>AVERAGE('24-Week Plan'!$K$2:$K$25)</x:f>
        <x:v>0</x:v>
      </x:c>
      <x:c r="B10" s="81"/>
      <x:c r="C10" s="91" t="n">
        <x:f>COUNT('Mock Tracker'!$D$2:$D$31)</x:f>
        <x:v>0</x:v>
      </x:c>
      <x:c r="D10" s="91"/>
      <x:c r="E10" s="81" t="n">
        <x:f>IFERROR(MAX('Mock Tracker'!$F$2:$F$31),0)</x:f>
        <x:v>0</x:v>
      </x:c>
      <x:c r="F10" s="81"/>
      <x:c r="G10" s="91" t="n">
        <x:f>COUNTIF('Daily Log'!$J$2:$J$201,"Done")</x:f>
        <x:v>0</x:v>
      </x:c>
      <x:c r="H10" s="91"/>
    </x:row>
    <x:row r="11" ht="27" customHeight="1">
      <x:c r="A11" s="81"/>
      <x:c r="B11" s="81"/>
      <x:c r="C11" s="91"/>
      <x:c r="D11" s="91"/>
      <x:c r="E11" s="81"/>
      <x:c r="F11" s="81"/>
      <x:c r="G11" s="91"/>
      <x:c r="H11" s="91"/>
    </x:row>
    <x:row r="13">
      <x:c r="A13" s="23" t="str">
        <x:v>PROGRESS BY SUBJECT</x:v>
      </x:c>
      <x:c r="B13" s="23"/>
      <x:c r="C13" s="23"/>
      <x:c r="D13" s="23"/>
      <x:c r="F13" s="23" t="str">
        <x:v>WEEKLY CHECK-IN</x:v>
      </x:c>
      <x:c r="G13" s="23"/>
      <x:c r="H13" s="23"/>
    </x:row>
    <x:row r="14">
      <x:c r="A14" s="117" t="str">
        <x:v>Subject</x:v>
      </x:c>
      <x:c r="B14" s="117" t="str">
        <x:v>Topics Listed</x:v>
      </x:c>
      <x:c r="C14" s="117" t="str">
        <x:v>Topics Done</x:v>
      </x:c>
      <x:c r="D14" s="117" t="str">
        <x:v>Completion</x:v>
      </x:c>
      <x:c r="F14" s="113" t="str">
        <x:v>Ask her every Sunday</x:v>
      </x:c>
      <x:c r="G14" s="113"/>
      <x:c r="H14" s="113"/>
    </x:row>
    <x:row r="15" ht="26" customHeight="1">
      <x:c r="A15" s="128" t="str">
        <x:v>Quantitative Aptitude</x:v>
      </x:c>
      <x:c r="B15" s="43" t="n">
        <x:f>COUNTIF('Topic Tracker'!$B$2:$B$80,A15)</x:f>
        <x:v>25</x:v>
      </x:c>
      <x:c r="C15" s="43" t="n">
        <x:f>COUNTIFS('Topic Tracker'!$B$2:$B$80,A15,'Topic Tracker'!$F$2:$F$80,"Done")</x:f>
        <x:v>0</x:v>
      </x:c>
      <x:c r="D15" s="123" t="n">
        <x:f>IFERROR(C15/B15,0)</x:f>
        <x:v>0</x:v>
      </x:c>
      <x:c r="F15" s="49" t="str">
        <x:v>1. What felt easiest this week?</x:v>
      </x:c>
      <x:c r="G15" s="49"/>
      <x:c r="H15" s="49"/>
    </x:row>
    <x:row r="16" ht="26" customHeight="1">
      <x:c r="A16" s="128" t="str">
        <x:v>Logical Reasoning</x:v>
      </x:c>
      <x:c r="B16" s="43" t="n">
        <x:f>COUNTIF('Topic Tracker'!$B$2:$B$80,A16)</x:f>
        <x:v>18</x:v>
      </x:c>
      <x:c r="C16" s="43" t="n">
        <x:f>COUNTIFS('Topic Tracker'!$B$2:$B$80,A16,'Topic Tracker'!$F$2:$F$80,"Done")</x:f>
        <x:v>0</x:v>
      </x:c>
      <x:c r="D16" s="123" t="n">
        <x:f>IFERROR(C16/B16,0)</x:f>
        <x:v>0</x:v>
      </x:c>
      <x:c r="F16" s="49" t="str">
        <x:v>2. Which 2 topics caused the most errors?</x:v>
      </x:c>
      <x:c r="G16" s="49"/>
      <x:c r="H16" s="49"/>
    </x:row>
    <x:row r="17" ht="26" customHeight="1">
      <x:c r="A17" s="128" t="str">
        <x:v>Abstract Reasoning</x:v>
      </x:c>
      <x:c r="B17" s="43" t="n">
        <x:f>COUNTIF('Topic Tracker'!$B$2:$B$80,A17)</x:f>
        <x:v>7</x:v>
      </x:c>
      <x:c r="C17" s="43" t="n">
        <x:f>COUNTIFS('Topic Tracker'!$B$2:$B$80,A17,'Topic Tracker'!$F$2:$F$80,"Done")</x:f>
        <x:v>0</x:v>
      </x:c>
      <x:c r="D17" s="123" t="n">
        <x:f>IFERROR(C17/B17,0)</x:f>
        <x:v>0</x:v>
      </x:c>
      <x:c r="F17" s="49" t="str">
        <x:v>3. Did accuracy or speed improve?</x:v>
      </x:c>
      <x:c r="G17" s="49"/>
      <x:c r="H17" s="49"/>
    </x:row>
    <x:row r="18" ht="26" customHeight="1">
      <x:c r="A18" s="128" t="str">
        <x:v>VARC Maintenance</x:v>
      </x:c>
      <x:c r="B18" s="43" t="n">
        <x:f>COUNTIF('Topic Tracker'!$B$2:$B$80,A18)</x:f>
        <x:v>6</x:v>
      </x:c>
      <x:c r="C18" s="43" t="n">
        <x:f>COUNTIFS('Topic Tracker'!$B$2:$B$80,A18,'Topic Tracker'!$F$2:$F$80,"Done")</x:f>
        <x:v>0</x:v>
      </x:c>
      <x:c r="D18" s="123" t="n">
        <x:f>IFERROR(C18/B18,0)</x:f>
        <x:v>0</x:v>
      </x:c>
      <x:c r="F18" s="49" t="str">
        <x:v>4. What must be revised next week?</x:v>
      </x:c>
      <x:c r="G18" s="49"/>
      <x:c r="H18" s="49"/>
    </x:row>
    <x:row r="21">
      <x:c r="A21" s="130" t="str">
        <x:v>HOW TO READ THE NUMBERS</x:v>
      </x:c>
      <x:c r="B21" s="130"/>
      <x:c r="C21" s="130"/>
      <x:c r="D21" s="130"/>
      <x:c r="E21" s="130"/>
      <x:c r="F21" s="130"/>
      <x:c r="G21" s="130"/>
      <x:c r="H21" s="130"/>
    </x:row>
    <x:row r="22">
      <x:c r="A22" s="49" t="str">
        <x:v>Topic completion comes from the Status dropdown in Topic Tracker. Study sessions, minutes and accuracy come from Daily Log. Weekly session progress updates when a session is logged with a Week No. and a status. Mock scores come from Mock Tracker. A low percentage is information, not failure: use the notes and revision fields to decide the next small action.</x:v>
      </x:c>
      <x:c r="B22" s="49"/>
      <x:c r="C22" s="49"/>
      <x:c r="D22" s="49"/>
      <x:c r="E22" s="49"/>
      <x:c r="F22" s="49"/>
      <x:c r="G22" s="49"/>
      <x:c r="H22" s="49"/>
    </x:row>
    <x:row r="23">
      <x:c r="A23" s="49"/>
      <x:c r="B23" s="49"/>
      <x:c r="C23" s="49"/>
      <x:c r="D23" s="49"/>
      <x:c r="E23" s="49"/>
      <x:c r="F23" s="49"/>
      <x:c r="G23" s="49"/>
      <x:c r="H23" s="49"/>
    </x:row>
    <x:row r="24">
      <x:c r="A24" s="49"/>
      <x:c r="B24" s="49"/>
      <x:c r="C24" s="49"/>
      <x:c r="D24" s="49"/>
      <x:c r="E24" s="49"/>
      <x:c r="F24" s="49"/>
      <x:c r="G24" s="49"/>
      <x:c r="H24" s="49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F13:H13"/>
    <x:mergeCell ref="F14:H14"/>
    <x:mergeCell ref="F15:H15"/>
    <x:mergeCell ref="F16:H16"/>
    <x:mergeCell ref="F17:H17"/>
    <x:mergeCell ref="F18:H18"/>
    <x:mergeCell ref="A21:H21"/>
    <x:mergeCell ref="A22:H24"/>
  </x:mergeCells>
  <x:conditionalFormatting sqref="D15:D18">
    <x:cfRule type="dataBar" priority="1">
      <x:dataBar>
        <x:cfvo type="min"/>
        <x:cfvo type="max"/>
        <x:color rgb="FF0F8B8D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8B8D"/>
            </x14:dataBar>
          </x14:cfRule>
          <xm:sqref>D15:D18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3" hidden="0" customWidth="1"/>
    <x:col min="4" max="4" width="13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29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</x:cols>
  <x:sheetData>
    <x:row r="1">
      <x:c r="A1" s="73" t="str">
        <x:v>Week No.</x:v>
      </x:c>
      <x:c r="B1" s="73" t="str">
        <x:v>Week</x:v>
      </x:c>
      <x:c r="C1" s="73" t="str">
        <x:v>Start Date</x:v>
      </x:c>
      <x:c r="D1" s="73" t="str">
        <x:v>End Date</x:v>
      </x:c>
      <x:c r="E1" s="73" t="str">
        <x:v>Quant Focus</x:v>
      </x:c>
      <x:c r="F1" s="73" t="str">
        <x:v>Logical Reasoning Focus</x:v>
      </x:c>
      <x:c r="G1" s="73" t="str">
        <x:v>Abstract Reasoning Focus</x:v>
      </x:c>
      <x:c r="H1" s="73" t="str">
        <x:v>VARC Maintenance</x:v>
      </x:c>
      <x:c r="I1" s="73" t="str">
        <x:v>Test / Milestone</x:v>
      </x:c>
      <x:c r="J1" s="73" t="str">
        <x:v>Sessions Logged</x:v>
      </x:c>
      <x:c r="K1" s="73" t="str">
        <x:v>Sessions Done</x:v>
      </x:c>
      <x:c r="L1" s="73" t="str">
        <x:v>Progress</x:v>
      </x:c>
      <x:c r="M1" s="73" t="str">
        <x:v>Notes</x:v>
      </x:c>
    </x:row>
    <x:row r="2" ht="52" customHeight="1">
      <x:c r="A2" s="160" t="n">
        <x:v>1</x:v>
      </x:c>
      <x:c r="B2" s="142" t="str">
        <x:v>Week 01</x:v>
      </x:c>
      <x:c r="C2" s="143" t="n">
        <x:v>46323</x:v>
      </x:c>
      <x:c r="D2" s="143" t="n">
        <x:v>46329</x:v>
      </x:c>
      <x:c r="E2" s="142" t="str">
        <x:v>Simplification + Number System</x:v>
      </x:c>
      <x:c r="F2" s="142" t="str">
        <x:v>Alphabet Test + Coding–Decoding</x:v>
      </x:c>
      <x:c r="G2" s="142" t="str">
        <x:v>Coding patterns / mirror-water images</x:v>
      </x:c>
      <x:c r="H2" s="142" t="str">
        <x:v>1 RC on 3 days; grammar/vocab on other days</x:v>
      </x:c>
      <x:c r="I2" s="142" t="str">
        <x:v>Baseline diagnostic (timed; do not worry about score)</x:v>
      </x:c>
      <x:c r="J2" s="168" t="n">
        <x:f>COUNTIF('Daily Log'!$B$2:$B$201,A2)</x:f>
        <x:v>0</x:v>
      </x:c>
      <x:c r="K2" s="168" t="n">
        <x:f>COUNTIFS('Daily Log'!$B$2:$B$201,A2,'Daily Log'!$J$2:$J$201,"Done")</x:f>
        <x:v>0</x:v>
      </x:c>
      <x:c r="L2" s="169" t="n">
        <x:f>IF(J2=0,0,K2/J2)</x:f>
        <x:v>0</x:v>
      </x:c>
      <x:c r="M2" s="142"/>
    </x:row>
    <x:row r="3" ht="52" customHeight="1">
      <x:c r="A3" s="160" t="n">
        <x:v>2</x:v>
      </x:c>
      <x:c r="B3" s="142" t="str">
        <x:v>Week 02</x:v>
      </x:c>
      <x:c r="C3" s="143" t="n">
        <x:v>46330</x:v>
      </x:c>
      <x:c r="D3" s="143" t="n">
        <x:v>46336</x:v>
      </x:c>
      <x:c r="E3" s="142" t="str">
        <x:v>HCF &amp; LCM + Surds &amp; Indices</x:v>
      </x:c>
      <x:c r="F3" s="142" t="str">
        <x:v>Blood Relations + Order/Ranking + Directions</x:v>
      </x:c>
      <x:c r="G3" s="142" t="str">
        <x:v>Directions and visual series</x:v>
      </x:c>
      <x:c r="H3" s="142" t="str">
        <x:v>RC detail/inference; 15 vocab words</x:v>
      </x:c>
      <x:c r="I3" s="142" t="str">
        <x:v>Quant 20Q + LR 20Q mini-test</x:v>
      </x:c>
      <x:c r="J3" s="168" t="n">
        <x:f>COUNTIF('Daily Log'!$B$2:$B$201,A3)</x:f>
        <x:v>0</x:v>
      </x:c>
      <x:c r="K3" s="168" t="n">
        <x:f>COUNTIFS('Daily Log'!$B$2:$B$201,A3,'Daily Log'!$J$2:$J$201,"Done")</x:f>
        <x:v>0</x:v>
      </x:c>
      <x:c r="L3" s="169" t="n">
        <x:f>IF(J3=0,0,K3/J3)</x:f>
        <x:v>0</x:v>
      </x:c>
      <x:c r="M3" s="142"/>
    </x:row>
    <x:row r="4" ht="52" customHeight="1">
      <x:c r="A4" s="160" t="n">
        <x:v>3</x:v>
      </x:c>
      <x:c r="B4" s="142" t="str">
        <x:v>Week 03</x:v>
      </x:c>
      <x:c r="C4" s="143" t="n">
        <x:v>46337</x:v>
      </x:c>
      <x:c r="D4" s="143" t="n">
        <x:v>46343</x:v>
      </x:c>
      <x:c r="E4" s="142" t="str">
        <x:v>Linear &amp; Quadratic Equations + Averages</x:v>
      </x:c>
      <x:c r="F4" s="142" t="str">
        <x:v>Syllogism + Inequalities</x:v>
      </x:c>
      <x:c r="G4" s="142" t="str">
        <x:v>Non-verbal patterns</x:v>
      </x:c>
      <x:c r="H4" s="142" t="str">
        <x:v>Sentence improvement + error spotting</x:v>
      </x:c>
      <x:c r="I4" s="142" t="str">
        <x:v>25Q Quant timed set</x:v>
      </x:c>
      <x:c r="J4" s="168" t="n">
        <x:f>COUNTIF('Daily Log'!$B$2:$B$201,A4)</x:f>
        <x:v>0</x:v>
      </x:c>
      <x:c r="K4" s="168" t="n">
        <x:f>COUNTIFS('Daily Log'!$B$2:$B$201,A4,'Daily Log'!$J$2:$J$201,"Done")</x:f>
        <x:v>0</x:v>
      </x:c>
      <x:c r="L4" s="169" t="n">
        <x:f>IF(J4=0,0,K4/J4)</x:f>
        <x:v>0</x:v>
      </x:c>
      <x:c r="M4" s="142"/>
    </x:row>
    <x:row r="5" ht="52" customHeight="1">
      <x:c r="A5" s="160" t="n">
        <x:v>4</x:v>
      </x:c>
      <x:c r="B5" s="142" t="str">
        <x:v>Week 04</x:v>
      </x:c>
      <x:c r="C5" s="143" t="n">
        <x:v>46344</x:v>
      </x:c>
      <x:c r="D5" s="143" t="n">
        <x:v>46350</x:v>
      </x:c>
      <x:c r="E5" s="142" t="str">
        <x:v>Percentage + Profit &amp; Loss</x:v>
      </x:c>
      <x:c r="F5" s="142" t="str">
        <x:v>Input–Output + Letter Series</x:v>
      </x:c>
      <x:c r="G5" s="142" t="str">
        <x:v>Pattern drills and missing numbers</x:v>
      </x:c>
      <x:c r="H5" s="142" t="str">
        <x:v>1 RC + review wrong answers</x:v>
      </x:c>
      <x:c r="I5" s="142" t="str">
        <x:v>25Q Reasoning timed set</x:v>
      </x:c>
      <x:c r="J5" s="168" t="n">
        <x:f>COUNTIF('Daily Log'!$B$2:$B$201,A5)</x:f>
        <x:v>0</x:v>
      </x:c>
      <x:c r="K5" s="168" t="n">
        <x:f>COUNTIFS('Daily Log'!$B$2:$B$201,A5,'Daily Log'!$J$2:$J$201,"Done")</x:f>
        <x:v>0</x:v>
      </x:c>
      <x:c r="L5" s="169" t="n">
        <x:f>IF(J5=0,0,K5/J5)</x:f>
        <x:v>0</x:v>
      </x:c>
      <x:c r="M5" s="142"/>
    </x:row>
    <x:row r="6" ht="52" customHeight="1">
      <x:c r="A6" s="160" t="n">
        <x:v>5</x:v>
      </x:c>
      <x:c r="B6" s="142" t="str">
        <x:v>Week 05</x:v>
      </x:c>
      <x:c r="C6" s="143" t="n">
        <x:v>46351</x:v>
      </x:c>
      <x:c r="D6" s="143" t="n">
        <x:v>46357</x:v>
      </x:c>
      <x:c r="E6" s="142" t="str">
        <x:v>Simple &amp; Compound Interest + Ratio/Proportion</x:v>
      </x:c>
      <x:c r="F6" s="142" t="str">
        <x:v>Seating Arrangement basics</x:v>
      </x:c>
      <x:c r="G6" s="142" t="str">
        <x:v>Basic figure series</x:v>
      </x:c>
      <x:c r="H6" s="142" t="str">
        <x:v>Cloze + grammar drills</x:v>
      </x:c>
      <x:c r="I6" s="142" t="str">
        <x:v>50Q mixed sectional</x:v>
      </x:c>
      <x:c r="J6" s="168" t="n">
        <x:f>COUNTIF('Daily Log'!$B$2:$B$201,A6)</x:f>
        <x:v>0</x:v>
      </x:c>
      <x:c r="K6" s="168" t="n">
        <x:f>COUNTIFS('Daily Log'!$B$2:$B$201,A6,'Daily Log'!$J$2:$J$201,"Done")</x:f>
        <x:v>0</x:v>
      </x:c>
      <x:c r="L6" s="169" t="n">
        <x:f>IF(J6=0,0,K6/J6)</x:f>
        <x:v>0</x:v>
      </x:c>
      <x:c r="M6" s="142"/>
    </x:row>
    <x:row r="7" ht="52" customHeight="1">
      <x:c r="A7" s="160" t="n">
        <x:v>6</x:v>
      </x:c>
      <x:c r="B7" s="142" t="str">
        <x:v>Week 06</x:v>
      </x:c>
      <x:c r="C7" s="143" t="n">
        <x:v>46358</x:v>
      </x:c>
      <x:c r="D7" s="143" t="n">
        <x:v>46364</x:v>
      </x:c>
      <x:c r="E7" s="142" t="str">
        <x:v>Partnership + Mixture &amp; Alligation</x:v>
      </x:c>
      <x:c r="F7" s="142" t="str">
        <x:v>Linear and Circular Puzzles</x:v>
      </x:c>
      <x:c r="G7" s="142" t="str">
        <x:v>Cubes/dice basics</x:v>
      </x:c>
      <x:c r="H7" s="142" t="str">
        <x:v>1 RC + vocabulary recall</x:v>
      </x:c>
      <x:c r="I7" s="142" t="str">
        <x:v>50Q Quant sectional</x:v>
      </x:c>
      <x:c r="J7" s="168" t="n">
        <x:f>COUNTIF('Daily Log'!$B$2:$B$201,A7)</x:f>
        <x:v>0</x:v>
      </x:c>
      <x:c r="K7" s="168" t="n">
        <x:f>COUNTIFS('Daily Log'!$B$2:$B$201,A7,'Daily Log'!$J$2:$J$201,"Done")</x:f>
        <x:v>0</x:v>
      </x:c>
      <x:c r="L7" s="169" t="n">
        <x:f>IF(J7=0,0,K7/J7)</x:f>
        <x:v>0</x:v>
      </x:c>
      <x:c r="M7" s="142"/>
    </x:row>
    <x:row r="8" ht="52" customHeight="1">
      <x:c r="A8" s="160" t="n">
        <x:v>7</x:v>
      </x:c>
      <x:c r="B8" s="142" t="str">
        <x:v>Week 07</x:v>
      </x:c>
      <x:c r="C8" s="143" t="n">
        <x:v>46365</x:v>
      </x:c>
      <x:c r="D8" s="143" t="n">
        <x:v>46371</x:v>
      </x:c>
      <x:c r="E8" s="142" t="str">
        <x:v>Problems on Ages + Time, Speed &amp; Distance</x:v>
      </x:c>
      <x:c r="F8" s="142" t="str">
        <x:v>Floor/Box/Month Puzzles</x:v>
      </x:c>
      <x:c r="G8" s="142" t="str">
        <x:v>Floor-box visual tracking</x:v>
      </x:c>
      <x:c r="H8" s="142" t="str">
        <x:v>Cloze + jumbled paragraphs</x:v>
      </x:c>
      <x:c r="I8" s="142" t="str">
        <x:v>50Q LR sectional</x:v>
      </x:c>
      <x:c r="J8" s="168" t="n">
        <x:f>COUNTIF('Daily Log'!$B$2:$B$201,A8)</x:f>
        <x:v>0</x:v>
      </x:c>
      <x:c r="K8" s="168" t="n">
        <x:f>COUNTIFS('Daily Log'!$B$2:$B$201,A8,'Daily Log'!$J$2:$J$201,"Done")</x:f>
        <x:v>0</x:v>
      </x:c>
      <x:c r="L8" s="169" t="n">
        <x:f>IF(J8=0,0,K8/J8)</x:f>
        <x:v>0</x:v>
      </x:c>
      <x:c r="M8" s="142"/>
    </x:row>
    <x:row r="9" ht="52" customHeight="1">
      <x:c r="A9" s="160" t="n">
        <x:v>8</x:v>
      </x:c>
      <x:c r="B9" s="142" t="str">
        <x:v>Week 08</x:v>
      </x:c>
      <x:c r="C9" s="143" t="n">
        <x:v>46372</x:v>
      </x:c>
      <x:c r="D9" s="143" t="n">
        <x:v>46378</x:v>
      </x:c>
      <x:c r="E9" s="142" t="str">
        <x:v>Time &amp; Work + AP/GP</x:v>
      </x:c>
      <x:c r="F9" s="142" t="str">
        <x:v>Data Sufficiency + Decision Making</x:v>
      </x:c>
      <x:c r="G9" s="142" t="str">
        <x:v>Paper folds and cubes</x:v>
      </x:c>
      <x:c r="H9" s="142" t="str">
        <x:v>1 RC + vocab/idioms</x:v>
      </x:c>
      <x:c r="I9" s="142" t="str">
        <x:v>50Q VARC sectional</x:v>
      </x:c>
      <x:c r="J9" s="168" t="n">
        <x:f>COUNTIF('Daily Log'!$B$2:$B$201,A9)</x:f>
        <x:v>0</x:v>
      </x:c>
      <x:c r="K9" s="168" t="n">
        <x:f>COUNTIFS('Daily Log'!$B$2:$B$201,A9,'Daily Log'!$J$2:$J$201,"Done")</x:f>
        <x:v>0</x:v>
      </x:c>
      <x:c r="L9" s="169" t="n">
        <x:f>IF(J9=0,0,K9/J9)</x:f>
        <x:v>0</x:v>
      </x:c>
      <x:c r="M9" s="142"/>
    </x:row>
    <x:row r="10" ht="52" customHeight="1">
      <x:c r="A10" s="160" t="n">
        <x:v>9</x:v>
      </x:c>
      <x:c r="B10" s="142" t="str">
        <x:v>Week 09</x:v>
      </x:c>
      <x:c r="C10" s="143" t="n">
        <x:v>46379</x:v>
      </x:c>
      <x:c r="D10" s="143" t="n">
        <x:v>46385</x:v>
      </x:c>
      <x:c r="E10" s="142" t="str">
        <x:v>Permutation &amp; Combination + Probability</x:v>
      </x:c>
      <x:c r="F10" s="142" t="str">
        <x:v>Inference + Cause &amp; Effect</x:v>
      </x:c>
      <x:c r="G10" s="142" t="str">
        <x:v>Abstract mixed practice</x:v>
      </x:c>
      <x:c r="H10" s="142" t="str">
        <x:v>RC tone, purpose, inference</x:v>
      </x:c>
      <x:c r="I10" s="142" t="str">
        <x:v>100Q mixed practice test</x:v>
      </x:c>
      <x:c r="J10" s="168" t="n">
        <x:f>COUNTIF('Daily Log'!$B$2:$B$201,A10)</x:f>
        <x:v>0</x:v>
      </x:c>
      <x:c r="K10" s="168" t="n">
        <x:f>COUNTIFS('Daily Log'!$B$2:$B$201,A10,'Daily Log'!$J$2:$J$201,"Done")</x:f>
        <x:v>0</x:v>
      </x:c>
      <x:c r="L10" s="169" t="n">
        <x:f>IF(J10=0,0,K10/J10)</x:f>
        <x:v>0</x:v>
      </x:c>
      <x:c r="M10" s="142"/>
    </x:row>
    <x:row r="11" ht="52" customHeight="1">
      <x:c r="A11" s="160" t="n">
        <x:v>10</x:v>
      </x:c>
      <x:c r="B11" s="142" t="str">
        <x:v>Week 10</x:v>
      </x:c>
      <x:c r="C11" s="143" t="n">
        <x:v>46386</x:v>
      </x:c>
      <x:c r="D11" s="143" t="n">
        <x:v>46392</x:v>
      </x:c>
      <x:c r="E11" s="142" t="str">
        <x:v>Mensuration (2D &amp; 3D)</x:v>
      </x:c>
      <x:c r="F11" s="142" t="str">
        <x:v>Assumptions + Course of Action</x:v>
      </x:c>
      <x:c r="G11" s="142" t="str">
        <x:v>Figure counting + cubes</x:v>
      </x:c>
      <x:c r="H11" s="142" t="str">
        <x:v>RC + grammar error log</x:v>
      </x:c>
      <x:c r="I11" s="142" t="str">
        <x:v>50Q Quant timed set</x:v>
      </x:c>
      <x:c r="J11" s="168" t="n">
        <x:f>COUNTIF('Daily Log'!$B$2:$B$201,A11)</x:f>
        <x:v>0</x:v>
      </x:c>
      <x:c r="K11" s="168" t="n">
        <x:f>COUNTIFS('Daily Log'!$B$2:$B$201,A11,'Daily Log'!$J$2:$J$201,"Done")</x:f>
        <x:v>0</x:v>
      </x:c>
      <x:c r="L11" s="169" t="n">
        <x:f>IF(J11=0,0,K11/J11)</x:f>
        <x:v>0</x:v>
      </x:c>
      <x:c r="M11" s="142"/>
    </x:row>
    <x:row r="12" ht="52" customHeight="1">
      <x:c r="A12" s="160" t="n">
        <x:v>11</x:v>
      </x:c>
      <x:c r="B12" s="142" t="str">
        <x:v>Week 11</x:v>
      </x:c>
      <x:c r="C12" s="143" t="n">
        <x:v>46393</x:v>
      </x:c>
      <x:c r="D12" s="143" t="n">
        <x:v>46399</x:v>
      </x:c>
      <x:c r="E12" s="142" t="str">
        <x:v>Geometry</x:v>
      </x:c>
      <x:c r="F12" s="142" t="str">
        <x:v>Arguments + Conclusions</x:v>
      </x:c>
      <x:c r="G12" s="142" t="str">
        <x:v>Mirror/water + figure series</x:v>
      </x:c>
      <x:c r="H12" s="142" t="str">
        <x:v>RC + vocabulary in context</x:v>
      </x:c>
      <x:c r="I12" s="142" t="str">
        <x:v>100Q LR/AR sectional</x:v>
      </x:c>
      <x:c r="J12" s="168" t="n">
        <x:f>COUNTIF('Daily Log'!$B$2:$B$201,A12)</x:f>
        <x:v>0</x:v>
      </x:c>
      <x:c r="K12" s="168" t="n">
        <x:f>COUNTIFS('Daily Log'!$B$2:$B$201,A12,'Daily Log'!$J$2:$J$201,"Done")</x:f>
        <x:v>0</x:v>
      </x:c>
      <x:c r="L12" s="169" t="n">
        <x:f>IF(J12=0,0,K12/J12)</x:f>
        <x:v>0</x:v>
      </x:c>
      <x:c r="M12" s="142"/>
    </x:row>
    <x:row r="13" ht="52" customHeight="1">
      <x:c r="A13" s="160" t="n">
        <x:v>12</x:v>
      </x:c>
      <x:c r="B13" s="142" t="str">
        <x:v>Week 12</x:v>
      </x:c>
      <x:c r="C13" s="143" t="n">
        <x:v>46400</x:v>
      </x:c>
      <x:c r="D13" s="143" t="n">
        <x:v>46406</x:v>
      </x:c>
      <x:c r="E13" s="142" t="str">
        <x:v>Trigonometry + Logarithms + Number Series</x:v>
      </x:c>
      <x:c r="F13" s="142" t="str">
        <x:v>Clocks/Calendars + Venn Diagrams</x:v>
      </x:c>
      <x:c r="G13" s="142" t="str">
        <x:v>Mixed abstract reasoning</x:v>
      </x:c>
      <x:c r="H13" s="142" t="str">
        <x:v>RC + 20 mixed verbal questions</x:v>
      </x:c>
      <x:c r="I13" s="142" t="str">
        <x:v>50Q Quant timed set</x:v>
      </x:c>
      <x:c r="J13" s="168" t="n">
        <x:f>COUNTIF('Daily Log'!$B$2:$B$201,A13)</x:f>
        <x:v>0</x:v>
      </x:c>
      <x:c r="K13" s="168" t="n">
        <x:f>COUNTIFS('Daily Log'!$B$2:$B$201,A13,'Daily Log'!$J$2:$J$201,"Done")</x:f>
        <x:v>0</x:v>
      </x:c>
      <x:c r="L13" s="169" t="n">
        <x:f>IF(J13=0,0,K13/J13)</x:f>
        <x:v>0</x:v>
      </x:c>
      <x:c r="M13" s="142"/>
    </x:row>
    <x:row r="14" ht="52" customHeight="1">
      <x:c r="A14" s="160" t="n">
        <x:v>13</x:v>
      </x:c>
      <x:c r="B14" s="142" t="str">
        <x:v>Week 13</x:v>
      </x:c>
      <x:c r="C14" s="143" t="n">
        <x:v>46407</x:v>
      </x:c>
      <x:c r="D14" s="143" t="n">
        <x:v>46413</x:v>
      </x:c>
      <x:c r="E14" s="142" t="str">
        <x:v>Data Interpretation + Data Sufficiency</x:v>
      </x:c>
      <x:c r="F14" s="142" t="str">
        <x:v>Matrix + Coded Equation</x:v>
      </x:c>
      <x:c r="G14" s="142" t="str">
        <x:v>Cubes/dice + pattern revision</x:v>
      </x:c>
      <x:c r="H14" s="142" t="str">
        <x:v>RC + verbal error types</x:v>
      </x:c>
      <x:c r="I14" s="142" t="str">
        <x:v>50Q Quant with DI</x:v>
      </x:c>
      <x:c r="J14" s="168" t="n">
        <x:f>COUNTIF('Daily Log'!$B$2:$B$201,A14)</x:f>
        <x:v>0</x:v>
      </x:c>
      <x:c r="K14" s="168" t="n">
        <x:f>COUNTIFS('Daily Log'!$B$2:$B$201,A14,'Daily Log'!$J$2:$J$201,"Done")</x:f>
        <x:v>0</x:v>
      </x:c>
      <x:c r="L14" s="169" t="n">
        <x:f>IF(J14=0,0,K14/J14)</x:f>
        <x:v>0</x:v>
      </x:c>
      <x:c r="M14" s="142"/>
    </x:row>
    <x:row r="15" ht="52" customHeight="1">
      <x:c r="A15" s="160" t="n">
        <x:v>14</x:v>
      </x:c>
      <x:c r="B15" s="142" t="str">
        <x:v>Week 14</x:v>
      </x:c>
      <x:c r="C15" s="143" t="n">
        <x:v>46414</x:v>
      </x:c>
      <x:c r="D15" s="143" t="n">
        <x:v>46420</x:v>
      </x:c>
      <x:c r="E15" s="142" t="str">
        <x:v>Quant catch-up + formula repair</x:v>
      </x:c>
      <x:c r="F15" s="142" t="str">
        <x:v>Non-verbal reasoning + cubes/dice</x:v>
      </x:c>
      <x:c r="G15" s="142" t="str">
        <x:v>AR catch-up</x:v>
      </x:c>
      <x:c r="H15" s="142" t="str">
        <x:v>2 RCs across week</x:v>
      </x:c>
      <x:c r="I15" s="142" t="str">
        <x:v>100Q LR/AR sectional</x:v>
      </x:c>
      <x:c r="J15" s="168" t="n">
        <x:f>COUNTIF('Daily Log'!$B$2:$B$201,A15)</x:f>
        <x:v>0</x:v>
      </x:c>
      <x:c r="K15" s="168" t="n">
        <x:f>COUNTIFS('Daily Log'!$B$2:$B$201,A15,'Daily Log'!$J$2:$J$201,"Done")</x:f>
        <x:v>0</x:v>
      </x:c>
      <x:c r="L15" s="169" t="n">
        <x:f>IF(J15=0,0,K15/J15)</x:f>
        <x:v>0</x:v>
      </x:c>
      <x:c r="M15" s="142"/>
    </x:row>
    <x:row r="16" ht="52" customHeight="1">
      <x:c r="A16" s="160" t="n">
        <x:v>15</x:v>
      </x:c>
      <x:c r="B16" s="142" t="str">
        <x:v>Week 15</x:v>
      </x:c>
      <x:c r="C16" s="143" t="n">
        <x:v>46421</x:v>
      </x:c>
      <x:c r="D16" s="143" t="n">
        <x:v>46427</x:v>
      </x:c>
      <x:c r="E16" s="142" t="str">
        <x:v>Quant weak-topic repair</x:v>
      </x:c>
      <x:c r="F16" s="142" t="str">
        <x:v>Pattern perception + paper folding</x:v>
      </x:c>
      <x:c r="G16" s="142" t="str">
        <x:v>Pattern speed practice</x:v>
      </x:c>
      <x:c r="H16" s="142" t="str">
        <x:v>Grammar/vocab + 1 RC</x:v>
      </x:c>
      <x:c r="I16" s="142" t="str">
        <x:v>Full mock 1 + deep review</x:v>
      </x:c>
      <x:c r="J16" s="168" t="n">
        <x:f>COUNTIF('Daily Log'!$B$2:$B$201,A16)</x:f>
        <x:v>0</x:v>
      </x:c>
      <x:c r="K16" s="168" t="n">
        <x:f>COUNTIFS('Daily Log'!$B$2:$B$201,A16,'Daily Log'!$J$2:$J$201,"Done")</x:f>
        <x:v>0</x:v>
      </x:c>
      <x:c r="L16" s="169" t="n">
        <x:f>IF(J16=0,0,K16/J16)</x:f>
        <x:v>0</x:v>
      </x:c>
      <x:c r="M16" s="142"/>
    </x:row>
    <x:row r="17" ht="52" customHeight="1">
      <x:c r="A17" s="160" t="n">
        <x:v>16</x:v>
      </x:c>
      <x:c r="B17" s="142" t="str">
        <x:v>Week 16</x:v>
      </x:c>
      <x:c r="C17" s="143" t="n">
        <x:v>46428</x:v>
      </x:c>
      <x:c r="D17" s="143" t="n">
        <x:v>46434</x:v>
      </x:c>
      <x:c r="E17" s="142" t="str">
        <x:v>Quant mixed revision</x:v>
      </x:c>
      <x:c r="F17" s="142" t="str">
        <x:v>Water/Mirror image + missing number</x:v>
      </x:c>
      <x:c r="G17" s="142" t="str">
        <x:v>Visual transformation drills</x:v>
      </x:c>
      <x:c r="H17" s="142" t="str">
        <x:v>2 RCs + mixed verbal</x:v>
      </x:c>
      <x:c r="I17" s="142" t="str">
        <x:v>Full mock 2 + deep review</x:v>
      </x:c>
      <x:c r="J17" s="168" t="n">
        <x:f>COUNTIF('Daily Log'!$B$2:$B$201,A17)</x:f>
        <x:v>0</x:v>
      </x:c>
      <x:c r="K17" s="168" t="n">
        <x:f>COUNTIFS('Daily Log'!$B$2:$B$201,A17,'Daily Log'!$J$2:$J$201,"Done")</x:f>
        <x:v>0</x:v>
      </x:c>
      <x:c r="L17" s="169" t="n">
        <x:f>IF(J17=0,0,K17/J17)</x:f>
        <x:v>0</x:v>
      </x:c>
      <x:c r="M17" s="142"/>
    </x:row>
    <x:row r="18" ht="52" customHeight="1">
      <x:c r="A18" s="160" t="n">
        <x:v>17</x:v>
      </x:c>
      <x:c r="B18" s="142" t="str">
        <x:v>Week 17</x:v>
      </x:c>
      <x:c r="C18" s="143" t="n">
        <x:v>46435</x:v>
      </x:c>
      <x:c r="D18" s="143" t="n">
        <x:v>46441</x:v>
      </x:c>
      <x:c r="E18" s="142" t="str">
        <x:v>Arithmetic mixed sets</x:v>
      </x:c>
      <x:c r="F18" s="142" t="str">
        <x:v>Analogy + Classification + weak LR</x:v>
      </x:c>
      <x:c r="G18" s="142" t="str">
        <x:v>Analogy/classification</x:v>
      </x:c>
      <x:c r="H18" s="142" t="str">
        <x:v>15–20m VARC maintenance</x:v>
      </x:c>
      <x:c r="I18" s="142" t="str">
        <x:v>Full mock 3</x:v>
      </x:c>
      <x:c r="J18" s="168" t="n">
        <x:f>COUNTIF('Daily Log'!$B$2:$B$201,A18)</x:f>
        <x:v>0</x:v>
      </x:c>
      <x:c r="K18" s="168" t="n">
        <x:f>COUNTIFS('Daily Log'!$B$2:$B$201,A18,'Daily Log'!$J$2:$J$201,"Done")</x:f>
        <x:v>0</x:v>
      </x:c>
      <x:c r="L18" s="169" t="n">
        <x:f>IF(J18=0,0,K18/J18)</x:f>
        <x:v>0</x:v>
      </x:c>
      <x:c r="M18" s="142"/>
    </x:row>
    <x:row r="19" ht="52" customHeight="1">
      <x:c r="A19" s="160" t="n">
        <x:v>18</x:v>
      </x:c>
      <x:c r="B19" s="142" t="str">
        <x:v>Week 18</x:v>
      </x:c>
      <x:c r="C19" s="143" t="n">
        <x:v>46442</x:v>
      </x:c>
      <x:c r="D19" s="143" t="n">
        <x:v>46448</x:v>
      </x:c>
      <x:c r="E19" s="142" t="str">
        <x:v>Algebra + Number System mixed</x:v>
      </x:c>
      <x:c r="F19" s="142" t="str">
        <x:v>Seating/Puzzles/Syllogism rotation</x:v>
      </x:c>
      <x:c r="G19" s="142" t="str">
        <x:v>Non-verbal speed drills</x:v>
      </x:c>
      <x:c r="H19" s="142" t="str">
        <x:v>RC speed + inference</x:v>
      </x:c>
      <x:c r="I19" s="142" t="str">
        <x:v>Full mock 4</x:v>
      </x:c>
      <x:c r="J19" s="168" t="n">
        <x:f>COUNTIF('Daily Log'!$B$2:$B$201,A19)</x:f>
        <x:v>0</x:v>
      </x:c>
      <x:c r="K19" s="168" t="n">
        <x:f>COUNTIFS('Daily Log'!$B$2:$B$201,A19,'Daily Log'!$J$2:$J$201,"Done")</x:f>
        <x:v>0</x:v>
      </x:c>
      <x:c r="L19" s="169" t="n">
        <x:f>IF(J19=0,0,K19/J19)</x:f>
        <x:v>0</x:v>
      </x:c>
      <x:c r="M19" s="142"/>
    </x:row>
    <x:row r="20" ht="52" customHeight="1">
      <x:c r="A20" s="160" t="n">
        <x:v>19</x:v>
      </x:c>
      <x:c r="B20" s="142" t="str">
        <x:v>Week 19</x:v>
      </x:c>
      <x:c r="C20" s="143" t="n">
        <x:v>46449</x:v>
      </x:c>
      <x:c r="D20" s="143" t="n">
        <x:v>46455</x:v>
      </x:c>
      <x:c r="E20" s="142" t="str">
        <x:v>Geometry + Data Interpretation mixed</x:v>
      </x:c>
      <x:c r="F20" s="142" t="str">
        <x:v>Statement-based reasoning rotation</x:v>
      </x:c>
      <x:c r="G20" s="142" t="str">
        <x:v>Weak visual patterns</x:v>
      </x:c>
      <x:c r="H20" s="142" t="str">
        <x:v>Vocab + grammar speed set</x:v>
      </x:c>
      <x:c r="I20" s="142" t="str">
        <x:v>Full mock 5</x:v>
      </x:c>
      <x:c r="J20" s="168" t="n">
        <x:f>COUNTIF('Daily Log'!$B$2:$B$201,A20)</x:f>
        <x:v>0</x:v>
      </x:c>
      <x:c r="K20" s="168" t="n">
        <x:f>COUNTIFS('Daily Log'!$B$2:$B$201,A20,'Daily Log'!$J$2:$J$201,"Done")</x:f>
        <x:v>0</x:v>
      </x:c>
      <x:c r="L20" s="169" t="n">
        <x:f>IF(J20=0,0,K20/J20)</x:f>
        <x:v>0</x:v>
      </x:c>
      <x:c r="M20" s="142"/>
    </x:row>
    <x:row r="21" ht="52" customHeight="1">
      <x:c r="A21" s="160" t="n">
        <x:v>20</x:v>
      </x:c>
      <x:c r="B21" s="142" t="str">
        <x:v>Week 20</x:v>
      </x:c>
      <x:c r="C21" s="143" t="n">
        <x:v>46456</x:v>
      </x:c>
      <x:c r="D21" s="143" t="n">
        <x:v>46462</x:v>
      </x:c>
      <x:c r="E21" s="142" t="str">
        <x:v>Quant sectional revision</x:v>
      </x:c>
      <x:c r="F21" s="142" t="str">
        <x:v>Abstract pattern speed drills</x:v>
      </x:c>
      <x:c r="G21" s="142" t="str">
        <x:v>AR mixed timed sets</x:v>
      </x:c>
      <x:c r="H21" s="142" t="str">
        <x:v>2 RCs + 25Q verbal drill</x:v>
      </x:c>
      <x:c r="I21" s="142" t="str">
        <x:v>Full mock 6</x:v>
      </x:c>
      <x:c r="J21" s="168" t="n">
        <x:f>COUNTIF('Daily Log'!$B$2:$B$201,A21)</x:f>
        <x:v>0</x:v>
      </x:c>
      <x:c r="K21" s="168" t="n">
        <x:f>COUNTIFS('Daily Log'!$B$2:$B$201,A21,'Daily Log'!$J$2:$J$201,"Done")</x:f>
        <x:v>0</x:v>
      </x:c>
      <x:c r="L21" s="169" t="n">
        <x:f>IF(J21=0,0,K21/J21)</x:f>
        <x:v>0</x:v>
      </x:c>
      <x:c r="M21" s="142"/>
    </x:row>
    <x:row r="22" ht="52" customHeight="1">
      <x:c r="A22" s="160" t="n">
        <x:v>21</x:v>
      </x:c>
      <x:c r="B22" s="142" t="str">
        <x:v>Week 21</x:v>
      </x:c>
      <x:c r="C22" s="143" t="n">
        <x:v>46463</x:v>
      </x:c>
      <x:c r="D22" s="143" t="n">
        <x:v>46469</x:v>
      </x:c>
      <x:c r="E22" s="142" t="str">
        <x:v>Top 3 Quant weaknesses</x:v>
      </x:c>
      <x:c r="F22" s="142" t="str">
        <x:v>Top 3 LR/AR weaknesses</x:v>
      </x:c>
      <x:c r="G22" s="142" t="str">
        <x:v>Top 3 AR weaknesses</x:v>
      </x:c>
      <x:c r="H22" s="142" t="str">
        <x:v>Timed mixed VARC</x:v>
      </x:c>
      <x:c r="I22" s="142" t="str">
        <x:v>Full mocks 7 and 8</x:v>
      </x:c>
      <x:c r="J22" s="168" t="n">
        <x:f>COUNTIF('Daily Log'!$B$2:$B$201,A22)</x:f>
        <x:v>0</x:v>
      </x:c>
      <x:c r="K22" s="168" t="n">
        <x:f>COUNTIFS('Daily Log'!$B$2:$B$201,A22,'Daily Log'!$J$2:$J$201,"Done")</x:f>
        <x:v>0</x:v>
      </x:c>
      <x:c r="L22" s="169" t="n">
        <x:f>IF(J22=0,0,K22/J22)</x:f>
        <x:v>0</x:v>
      </x:c>
      <x:c r="M22" s="142"/>
    </x:row>
    <x:row r="23" ht="52" customHeight="1">
      <x:c r="A23" s="160" t="n">
        <x:v>22</x:v>
      </x:c>
      <x:c r="B23" s="142" t="str">
        <x:v>Week 22</x:v>
      </x:c>
      <x:c r="C23" s="143" t="n">
        <x:v>46470</x:v>
      </x:c>
      <x:c r="D23" s="143" t="n">
        <x:v>46476</x:v>
      </x:c>
      <x:c r="E23" s="142" t="str">
        <x:v>Calculation speed + formula revision</x:v>
      </x:c>
      <x:c r="F23" s="142" t="str">
        <x:v>High-error reasoning chapters</x:v>
      </x:c>
      <x:c r="G23" s="142" t="str">
        <x:v>High-error AR patterns</x:v>
      </x:c>
      <x:c r="H23" s="142" t="str">
        <x:v>RC + vocabulary/error list</x:v>
      </x:c>
      <x:c r="I23" s="142" t="str">
        <x:v>Full mocks 9 and 10</x:v>
      </x:c>
      <x:c r="J23" s="168" t="n">
        <x:f>COUNTIF('Daily Log'!$B$2:$B$201,A23)</x:f>
        <x:v>0</x:v>
      </x:c>
      <x:c r="K23" s="168" t="n">
        <x:f>COUNTIFS('Daily Log'!$B$2:$B$201,A23,'Daily Log'!$J$2:$J$201,"Done")</x:f>
        <x:v>0</x:v>
      </x:c>
      <x:c r="L23" s="169" t="n">
        <x:f>IF(J23=0,0,K23/J23)</x:f>
        <x:v>0</x:v>
      </x:c>
      <x:c r="M23" s="142"/>
    </x:row>
    <x:row r="24" ht="52" customHeight="1">
      <x:c r="A24" s="160" t="n">
        <x:v>23</x:v>
      </x:c>
      <x:c r="B24" s="142" t="str">
        <x:v>Week 23</x:v>
      </x:c>
      <x:c r="C24" s="143" t="n">
        <x:v>46477</x:v>
      </x:c>
      <x:c r="D24" s="143" t="n">
        <x:v>46483</x:v>
      </x:c>
      <x:c r="E24" s="142" t="str">
        <x:v>Only weak topics + previous errors</x:v>
      </x:c>
      <x:c r="F24" s="142" t="str">
        <x:v>Reasoning mixed sets; no new theory</x:v>
      </x:c>
      <x:c r="G24" s="142" t="str">
        <x:v>Mixed sets; no new theory</x:v>
      </x:c>
      <x:c r="H24" s="142" t="str">
        <x:v>Short RC + familiar rules</x:v>
      </x:c>
      <x:c r="I24" s="142" t="str">
        <x:v>Full mocks 11 and 12</x:v>
      </x:c>
      <x:c r="J24" s="168" t="n">
        <x:f>COUNTIF('Daily Log'!$B$2:$B$201,A24)</x:f>
        <x:v>0</x:v>
      </x:c>
      <x:c r="K24" s="168" t="n">
        <x:f>COUNTIFS('Daily Log'!$B$2:$B$201,A24,'Daily Log'!$J$2:$J$201,"Done")</x:f>
        <x:v>0</x:v>
      </x:c>
      <x:c r="L24" s="169" t="n">
        <x:f>IF(J24=0,0,K24/J24)</x:f>
        <x:v>0</x:v>
      </x:c>
      <x:c r="M24" s="142"/>
    </x:row>
    <x:row r="25" ht="52" customHeight="1">
      <x:c r="A25" s="160" t="n">
        <x:v>24</x:v>
      </x:c>
      <x:c r="B25" s="142" t="str">
        <x:v>Week 24</x:v>
      </x:c>
      <x:c r="C25" s="143" t="n">
        <x:v>46484</x:v>
      </x:c>
      <x:c r="D25" s="143" t="n">
        <x:v>46490</x:v>
      </x:c>
      <x:c r="E25" s="142" t="str">
        <x:v>Formula sheet + easy/medium practice</x:v>
      </x:c>
      <x:c r="F25" s="142" t="str">
        <x:v>Light reasoning; retain confidence</x:v>
      </x:c>
      <x:c r="G25" s="142" t="str">
        <x:v>Light pattern revision</x:v>
      </x:c>
      <x:c r="H25" s="142" t="str">
        <x:v>Light review; no new difficult topics</x:v>
      </x:c>
      <x:c r="I25" s="142" t="str">
        <x:v>Full mocks 13–14 only if dates permit</x:v>
      </x:c>
      <x:c r="J25" s="168" t="n">
        <x:f>COUNTIF('Daily Log'!$B$2:$B$201,A25)</x:f>
        <x:v>0</x:v>
      </x:c>
      <x:c r="K25" s="168" t="n">
        <x:f>COUNTIFS('Daily Log'!$B$2:$B$201,A25,'Daily Log'!$J$2:$J$201,"Done")</x:f>
        <x:v>0</x:v>
      </x:c>
      <x:c r="L25" s="169" t="n">
        <x:f>IF(J25=0,0,K25/J25)</x:f>
        <x:v>0</x:v>
      </x:c>
      <x:c r="M25" s="142"/>
    </x:row>
  </x:sheetData>
  <x:conditionalFormatting sqref="L2:L25">
    <x:cfRule type="dataBar" priority="1">
      <x:dataBar>
        <x:cfvo type="min"/>
        <x:cfvo type="max"/>
        <x:color rgb="FF0F8B8D"/>
      </x:dataBar>
      <x:extLst>
        <x:ext xmlns:x14="http://schemas.microsoft.com/office/spreadsheetml/2009/9/main" uri="{B025F937-C7B1-47D3-B67F-A62EFF666E3E}">
          <x14:id>{497B9487-3909-2AC4-20E0-8BBEFD8C8D3C}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7B9487-3909-2AC4-20E0-8BBEFD8C8D3C}">
            <x14:dataBar gradient="1">
              <x14:cfvo type="min"/>
              <x14:cfvo type="max"/>
              <x14:fillColor rgb="FF0F8B8D"/>
            </x14:dataBar>
          </x14:cfRule>
          <xm:sqref>L2:L25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36" hidden="0" customWidth="1"/>
  </x:cols>
  <x:sheetData>
    <x:row r="1">
      <x:c r="A1" s="73" t="str">
        <x:v>ID</x:v>
      </x:c>
      <x:c r="B1" s="73" t="str">
        <x:v>Section</x:v>
      </x:c>
      <x:c r="C1" s="73" t="str">
        <x:v>Topic</x:v>
      </x:c>
      <x:c r="D1" s="73" t="str">
        <x:v>Priority</x:v>
      </x:c>
      <x:c r="E1" s="73" t="str">
        <x:v>Target Week</x:v>
      </x:c>
      <x:c r="F1" s="73" t="str">
        <x:v>Status</x:v>
      </x:c>
      <x:c r="G1" s="73" t="str">
        <x:v>Confidence (1–5)</x:v>
      </x:c>
      <x:c r="H1" s="73" t="str">
        <x:v>Last Practised</x:v>
      </x:c>
      <x:c r="I1" s="73" t="str">
        <x:v>Last Score %</x:v>
      </x:c>
      <x:c r="J1" s="73" t="str">
        <x:v>Next Revision</x:v>
      </x:c>
      <x:c r="K1" s="73" t="str">
        <x:v>Notes / Error Pattern</x:v>
      </x:c>
    </x:row>
    <x:row r="2" ht="28" customHeight="1">
      <x:c r="A2" s="190" t="n">
        <x:v>1</x:v>
      </x:c>
      <x:c r="B2" s="180" t="str">
        <x:v>Quantitative Aptitude</x:v>
      </x:c>
      <x:c r="C2" s="180" t="str">
        <x:v>Simplification</x:v>
      </x:c>
      <x:c r="D2" s="180" t="str">
        <x:v>High</x:v>
      </x:c>
      <x:c r="E2" s="180" t="n">
        <x:v>1</x:v>
      </x:c>
      <x:c r="F2" s="196" t="str">
        <x:v>Not Started</x:v>
      </x:c>
      <x:c r="G2" s="196" t="n">
        <x:v>3</x:v>
      </x:c>
      <x:c r="H2" s="194"/>
      <x:c r="I2" s="200"/>
      <x:c r="J2" s="194"/>
      <x:c r="K2" s="194"/>
    </x:row>
    <x:row r="3" ht="28" customHeight="1">
      <x:c r="A3" s="190" t="n">
        <x:v>2</x:v>
      </x:c>
      <x:c r="B3" s="180" t="str">
        <x:v>Quantitative Aptitude</x:v>
      </x:c>
      <x:c r="C3" s="180" t="str">
        <x:v>Number System</x:v>
      </x:c>
      <x:c r="D3" s="180" t="str">
        <x:v>High</x:v>
      </x:c>
      <x:c r="E3" s="180" t="n">
        <x:v>1</x:v>
      </x:c>
      <x:c r="F3" s="196" t="str">
        <x:v>Not Started</x:v>
      </x:c>
      <x:c r="G3" s="196" t="n">
        <x:v>3</x:v>
      </x:c>
      <x:c r="H3" s="194"/>
      <x:c r="I3" s="200"/>
      <x:c r="J3" s="194"/>
      <x:c r="K3" s="194"/>
    </x:row>
    <x:row r="4" ht="28" customHeight="1">
      <x:c r="A4" s="190" t="n">
        <x:v>3</x:v>
      </x:c>
      <x:c r="B4" s="180" t="str">
        <x:v>Quantitative Aptitude</x:v>
      </x:c>
      <x:c r="C4" s="180" t="str">
        <x:v>HCF &amp; LCM</x:v>
      </x:c>
      <x:c r="D4" s="180" t="str">
        <x:v>Medium</x:v>
      </x:c>
      <x:c r="E4" s="180" t="n">
        <x:v>2</x:v>
      </x:c>
      <x:c r="F4" s="196" t="str">
        <x:v>Not Started</x:v>
      </x:c>
      <x:c r="G4" s="196" t="n">
        <x:v>3</x:v>
      </x:c>
      <x:c r="H4" s="194"/>
      <x:c r="I4" s="200"/>
      <x:c r="J4" s="194"/>
      <x:c r="K4" s="194"/>
    </x:row>
    <x:row r="5" ht="28" customHeight="1">
      <x:c r="A5" s="190" t="n">
        <x:v>4</x:v>
      </x:c>
      <x:c r="B5" s="180" t="str">
        <x:v>Quantitative Aptitude</x:v>
      </x:c>
      <x:c r="C5" s="180" t="str">
        <x:v>Surds &amp; Indices</x:v>
      </x:c>
      <x:c r="D5" s="180" t="str">
        <x:v>Medium</x:v>
      </x:c>
      <x:c r="E5" s="180" t="n">
        <x:v>2</x:v>
      </x:c>
      <x:c r="F5" s="196" t="str">
        <x:v>Not Started</x:v>
      </x:c>
      <x:c r="G5" s="196" t="n">
        <x:v>3</x:v>
      </x:c>
      <x:c r="H5" s="194"/>
      <x:c r="I5" s="200"/>
      <x:c r="J5" s="194"/>
      <x:c r="K5" s="194"/>
    </x:row>
    <x:row r="6" ht="28" customHeight="1">
      <x:c r="A6" s="190" t="n">
        <x:v>5</x:v>
      </x:c>
      <x:c r="B6" s="180" t="str">
        <x:v>Quantitative Aptitude</x:v>
      </x:c>
      <x:c r="C6" s="180" t="str">
        <x:v>Linear &amp; Quadratic Equations</x:v>
      </x:c>
      <x:c r="D6" s="180" t="str">
        <x:v>High</x:v>
      </x:c>
      <x:c r="E6" s="180" t="n">
        <x:v>3</x:v>
      </x:c>
      <x:c r="F6" s="196" t="str">
        <x:v>Not Started</x:v>
      </x:c>
      <x:c r="G6" s="196" t="n">
        <x:v>3</x:v>
      </x:c>
      <x:c r="H6" s="194"/>
      <x:c r="I6" s="200"/>
      <x:c r="J6" s="194"/>
      <x:c r="K6" s="194"/>
    </x:row>
    <x:row r="7" ht="28" customHeight="1">
      <x:c r="A7" s="190" t="n">
        <x:v>6</x:v>
      </x:c>
      <x:c r="B7" s="180" t="str">
        <x:v>Quantitative Aptitude</x:v>
      </x:c>
      <x:c r="C7" s="180" t="str">
        <x:v>Averages</x:v>
      </x:c>
      <x:c r="D7" s="180" t="str">
        <x:v>High</x:v>
      </x:c>
      <x:c r="E7" s="180" t="n">
        <x:v>3</x:v>
      </x:c>
      <x:c r="F7" s="196" t="str">
        <x:v>Not Started</x:v>
      </x:c>
      <x:c r="G7" s="196" t="n">
        <x:v>3</x:v>
      </x:c>
      <x:c r="H7" s="194"/>
      <x:c r="I7" s="200"/>
      <x:c r="J7" s="194"/>
      <x:c r="K7" s="194"/>
    </x:row>
    <x:row r="8" ht="28" customHeight="1">
      <x:c r="A8" s="190" t="n">
        <x:v>7</x:v>
      </x:c>
      <x:c r="B8" s="180" t="str">
        <x:v>Quantitative Aptitude</x:v>
      </x:c>
      <x:c r="C8" s="180" t="str">
        <x:v>Percentages</x:v>
      </x:c>
      <x:c r="D8" s="180" t="str">
        <x:v>High</x:v>
      </x:c>
      <x:c r="E8" s="180" t="n">
        <x:v>4</x:v>
      </x:c>
      <x:c r="F8" s="196" t="str">
        <x:v>Not Started</x:v>
      </x:c>
      <x:c r="G8" s="196" t="n">
        <x:v>3</x:v>
      </x:c>
      <x:c r="H8" s="194"/>
      <x:c r="I8" s="200"/>
      <x:c r="J8" s="194"/>
      <x:c r="K8" s="194"/>
    </x:row>
    <x:row r="9" ht="28" customHeight="1">
      <x:c r="A9" s="190" t="n">
        <x:v>8</x:v>
      </x:c>
      <x:c r="B9" s="180" t="str">
        <x:v>Quantitative Aptitude</x:v>
      </x:c>
      <x:c r="C9" s="180" t="str">
        <x:v>Profit &amp; Loss</x:v>
      </x:c>
      <x:c r="D9" s="180" t="str">
        <x:v>High</x:v>
      </x:c>
      <x:c r="E9" s="180" t="n">
        <x:v>4</x:v>
      </x:c>
      <x:c r="F9" s="196" t="str">
        <x:v>Not Started</x:v>
      </x:c>
      <x:c r="G9" s="196" t="n">
        <x:v>3</x:v>
      </x:c>
      <x:c r="H9" s="194"/>
      <x:c r="I9" s="200"/>
      <x:c r="J9" s="194"/>
      <x:c r="K9" s="194"/>
    </x:row>
    <x:row r="10" ht="28" customHeight="1">
      <x:c r="A10" s="190" t="n">
        <x:v>9</x:v>
      </x:c>
      <x:c r="B10" s="180" t="str">
        <x:v>Quantitative Aptitude</x:v>
      </x:c>
      <x:c r="C10" s="180" t="str">
        <x:v>Simple &amp; Compound Interest</x:v>
      </x:c>
      <x:c r="D10" s="180" t="str">
        <x:v>High</x:v>
      </x:c>
      <x:c r="E10" s="180" t="n">
        <x:v>5</x:v>
      </x:c>
      <x:c r="F10" s="196" t="str">
        <x:v>Not Started</x:v>
      </x:c>
      <x:c r="G10" s="196" t="n">
        <x:v>3</x:v>
      </x:c>
      <x:c r="H10" s="194"/>
      <x:c r="I10" s="200"/>
      <x:c r="J10" s="194"/>
      <x:c r="K10" s="194"/>
    </x:row>
    <x:row r="11" ht="28" customHeight="1">
      <x:c r="A11" s="190" t="n">
        <x:v>10</x:v>
      </x:c>
      <x:c r="B11" s="180" t="str">
        <x:v>Quantitative Aptitude</x:v>
      </x:c>
      <x:c r="C11" s="180" t="str">
        <x:v>Ratio &amp; Proportion</x:v>
      </x:c>
      <x:c r="D11" s="180" t="str">
        <x:v>High</x:v>
      </x:c>
      <x:c r="E11" s="180" t="n">
        <x:v>5</x:v>
      </x:c>
      <x:c r="F11" s="196" t="str">
        <x:v>Not Started</x:v>
      </x:c>
      <x:c r="G11" s="196" t="n">
        <x:v>3</x:v>
      </x:c>
      <x:c r="H11" s="194"/>
      <x:c r="I11" s="200"/>
      <x:c r="J11" s="194"/>
      <x:c r="K11" s="194"/>
    </x:row>
    <x:row r="12" ht="28" customHeight="1">
      <x:c r="A12" s="190" t="n">
        <x:v>11</x:v>
      </x:c>
      <x:c r="B12" s="180" t="str">
        <x:v>Quantitative Aptitude</x:v>
      </x:c>
      <x:c r="C12" s="180" t="str">
        <x:v>Partnership</x:v>
      </x:c>
      <x:c r="D12" s="180" t="str">
        <x:v>Medium</x:v>
      </x:c>
      <x:c r="E12" s="180" t="n">
        <x:v>6</x:v>
      </x:c>
      <x:c r="F12" s="196" t="str">
        <x:v>Not Started</x:v>
      </x:c>
      <x:c r="G12" s="196" t="n">
        <x:v>3</x:v>
      </x:c>
      <x:c r="H12" s="194"/>
      <x:c r="I12" s="200"/>
      <x:c r="J12" s="194"/>
      <x:c r="K12" s="194"/>
    </x:row>
    <x:row r="13" ht="28" customHeight="1">
      <x:c r="A13" s="190" t="n">
        <x:v>12</x:v>
      </x:c>
      <x:c r="B13" s="180" t="str">
        <x:v>Quantitative Aptitude</x:v>
      </x:c>
      <x:c r="C13" s="180" t="str">
        <x:v>Mixture &amp; Alligation</x:v>
      </x:c>
      <x:c r="D13" s="180" t="str">
        <x:v>Medium</x:v>
      </x:c>
      <x:c r="E13" s="180" t="n">
        <x:v>6</x:v>
      </x:c>
      <x:c r="F13" s="196" t="str">
        <x:v>Not Started</x:v>
      </x:c>
      <x:c r="G13" s="196" t="n">
        <x:v>3</x:v>
      </x:c>
      <x:c r="H13" s="194"/>
      <x:c r="I13" s="200"/>
      <x:c r="J13" s="194"/>
      <x:c r="K13" s="194"/>
    </x:row>
    <x:row r="14" ht="28" customHeight="1">
      <x:c r="A14" s="190" t="n">
        <x:v>13</x:v>
      </x:c>
      <x:c r="B14" s="180" t="str">
        <x:v>Quantitative Aptitude</x:v>
      </x:c>
      <x:c r="C14" s="180" t="str">
        <x:v>Problems on Ages</x:v>
      </x:c>
      <x:c r="D14" s="180" t="str">
        <x:v>Medium</x:v>
      </x:c>
      <x:c r="E14" s="180" t="n">
        <x:v>7</x:v>
      </x:c>
      <x:c r="F14" s="196" t="str">
        <x:v>Not Started</x:v>
      </x:c>
      <x:c r="G14" s="196" t="n">
        <x:v>3</x:v>
      </x:c>
      <x:c r="H14" s="194"/>
      <x:c r="I14" s="200"/>
      <x:c r="J14" s="194"/>
      <x:c r="K14" s="194"/>
    </x:row>
    <x:row r="15" ht="28" customHeight="1">
      <x:c r="A15" s="190" t="n">
        <x:v>14</x:v>
      </x:c>
      <x:c r="B15" s="180" t="str">
        <x:v>Quantitative Aptitude</x:v>
      </x:c>
      <x:c r="C15" s="180" t="str">
        <x:v>Time, Speed &amp; Distance</x:v>
      </x:c>
      <x:c r="D15" s="180" t="str">
        <x:v>High</x:v>
      </x:c>
      <x:c r="E15" s="180" t="n">
        <x:v>7</x:v>
      </x:c>
      <x:c r="F15" s="196" t="str">
        <x:v>Not Started</x:v>
      </x:c>
      <x:c r="G15" s="196" t="n">
        <x:v>3</x:v>
      </x:c>
      <x:c r="H15" s="194"/>
      <x:c r="I15" s="200"/>
      <x:c r="J15" s="194"/>
      <x:c r="K15" s="194"/>
    </x:row>
    <x:row r="16" ht="28" customHeight="1">
      <x:c r="A16" s="190" t="n">
        <x:v>15</x:v>
      </x:c>
      <x:c r="B16" s="180" t="str">
        <x:v>Quantitative Aptitude</x:v>
      </x:c>
      <x:c r="C16" s="180" t="str">
        <x:v>Time &amp; Work</x:v>
      </x:c>
      <x:c r="D16" s="180" t="str">
        <x:v>High</x:v>
      </x:c>
      <x:c r="E16" s="180" t="n">
        <x:v>8</x:v>
      </x:c>
      <x:c r="F16" s="196" t="str">
        <x:v>Not Started</x:v>
      </x:c>
      <x:c r="G16" s="196" t="n">
        <x:v>3</x:v>
      </x:c>
      <x:c r="H16" s="194"/>
      <x:c r="I16" s="200"/>
      <x:c r="J16" s="194"/>
      <x:c r="K16" s="194"/>
    </x:row>
    <x:row r="17" ht="28" customHeight="1">
      <x:c r="A17" s="190" t="n">
        <x:v>16</x:v>
      </x:c>
      <x:c r="B17" s="180" t="str">
        <x:v>Quantitative Aptitude</x:v>
      </x:c>
      <x:c r="C17" s="180" t="str">
        <x:v>AP / GP</x:v>
      </x:c>
      <x:c r="D17" s="180" t="str">
        <x:v>Medium</x:v>
      </x:c>
      <x:c r="E17" s="180" t="n">
        <x:v>8</x:v>
      </x:c>
      <x:c r="F17" s="196" t="str">
        <x:v>Not Started</x:v>
      </x:c>
      <x:c r="G17" s="196" t="n">
        <x:v>3</x:v>
      </x:c>
      <x:c r="H17" s="194"/>
      <x:c r="I17" s="200"/>
      <x:c r="J17" s="194"/>
      <x:c r="K17" s="194"/>
    </x:row>
    <x:row r="18" ht="28" customHeight="1">
      <x:c r="A18" s="190" t="n">
        <x:v>17</x:v>
      </x:c>
      <x:c r="B18" s="180" t="str">
        <x:v>Quantitative Aptitude</x:v>
      </x:c>
      <x:c r="C18" s="180" t="str">
        <x:v>Permutation &amp; Combination</x:v>
      </x:c>
      <x:c r="D18" s="180" t="str">
        <x:v>Medium</x:v>
      </x:c>
      <x:c r="E18" s="180" t="n">
        <x:v>9</x:v>
      </x:c>
      <x:c r="F18" s="196" t="str">
        <x:v>Not Started</x:v>
      </x:c>
      <x:c r="G18" s="196" t="n">
        <x:v>3</x:v>
      </x:c>
      <x:c r="H18" s="194"/>
      <x:c r="I18" s="200"/>
      <x:c r="J18" s="194"/>
      <x:c r="K18" s="194"/>
    </x:row>
    <x:row r="19" ht="28" customHeight="1">
      <x:c r="A19" s="190" t="n">
        <x:v>18</x:v>
      </x:c>
      <x:c r="B19" s="180" t="str">
        <x:v>Quantitative Aptitude</x:v>
      </x:c>
      <x:c r="C19" s="180" t="str">
        <x:v>Probability</x:v>
      </x:c>
      <x:c r="D19" s="180" t="str">
        <x:v>Medium</x:v>
      </x:c>
      <x:c r="E19" s="180" t="n">
        <x:v>9</x:v>
      </x:c>
      <x:c r="F19" s="196" t="str">
        <x:v>Not Started</x:v>
      </x:c>
      <x:c r="G19" s="196" t="n">
        <x:v>3</x:v>
      </x:c>
      <x:c r="H19" s="194"/>
      <x:c r="I19" s="200"/>
      <x:c r="J19" s="194"/>
      <x:c r="K19" s="194"/>
    </x:row>
    <x:row r="20" ht="28" customHeight="1">
      <x:c r="A20" s="190" t="n">
        <x:v>19</x:v>
      </x:c>
      <x:c r="B20" s="180" t="str">
        <x:v>Quantitative Aptitude</x:v>
      </x:c>
      <x:c r="C20" s="180" t="str">
        <x:v>Mensuration 2D &amp; 3D</x:v>
      </x:c>
      <x:c r="D20" s="180" t="str">
        <x:v>Medium</x:v>
      </x:c>
      <x:c r="E20" s="180" t="n">
        <x:v>10</x:v>
      </x:c>
      <x:c r="F20" s="196" t="str">
        <x:v>Not Started</x:v>
      </x:c>
      <x:c r="G20" s="196" t="n">
        <x:v>3</x:v>
      </x:c>
      <x:c r="H20" s="194"/>
      <x:c r="I20" s="200"/>
      <x:c r="J20" s="194"/>
      <x:c r="K20" s="194"/>
    </x:row>
    <x:row r="21" ht="28" customHeight="1">
      <x:c r="A21" s="190" t="n">
        <x:v>20</x:v>
      </x:c>
      <x:c r="B21" s="180" t="str">
        <x:v>Quantitative Aptitude</x:v>
      </x:c>
      <x:c r="C21" s="180" t="str">
        <x:v>Geometry</x:v>
      </x:c>
      <x:c r="D21" s="180" t="str">
        <x:v>Medium</x:v>
      </x:c>
      <x:c r="E21" s="180" t="n">
        <x:v>11</x:v>
      </x:c>
      <x:c r="F21" s="196" t="str">
        <x:v>Not Started</x:v>
      </x:c>
      <x:c r="G21" s="196" t="n">
        <x:v>3</x:v>
      </x:c>
      <x:c r="H21" s="194"/>
      <x:c r="I21" s="200"/>
      <x:c r="J21" s="194"/>
      <x:c r="K21" s="194"/>
    </x:row>
    <x:row r="22" ht="28" customHeight="1">
      <x:c r="A22" s="190" t="n">
        <x:v>21</x:v>
      </x:c>
      <x:c r="B22" s="180" t="str">
        <x:v>Quantitative Aptitude</x:v>
      </x:c>
      <x:c r="C22" s="180" t="str">
        <x:v>Trigonometry</x:v>
      </x:c>
      <x:c r="D22" s="180" t="str">
        <x:v>Low</x:v>
      </x:c>
      <x:c r="E22" s="180" t="n">
        <x:v>12</x:v>
      </x:c>
      <x:c r="F22" s="196" t="str">
        <x:v>Not Started</x:v>
      </x:c>
      <x:c r="G22" s="196" t="n">
        <x:v>3</x:v>
      </x:c>
      <x:c r="H22" s="194"/>
      <x:c r="I22" s="200"/>
      <x:c r="J22" s="194"/>
      <x:c r="K22" s="194"/>
    </x:row>
    <x:row r="23" ht="28" customHeight="1">
      <x:c r="A23" s="190" t="n">
        <x:v>22</x:v>
      </x:c>
      <x:c r="B23" s="180" t="str">
        <x:v>Quantitative Aptitude</x:v>
      </x:c>
      <x:c r="C23" s="180" t="str">
        <x:v>Logarithms</x:v>
      </x:c>
      <x:c r="D23" s="180" t="str">
        <x:v>Low</x:v>
      </x:c>
      <x:c r="E23" s="180" t="n">
        <x:v>12</x:v>
      </x:c>
      <x:c r="F23" s="196" t="str">
        <x:v>Not Started</x:v>
      </x:c>
      <x:c r="G23" s="196" t="n">
        <x:v>3</x:v>
      </x:c>
      <x:c r="H23" s="194"/>
      <x:c r="I23" s="200"/>
      <x:c r="J23" s="194"/>
      <x:c r="K23" s="194"/>
    </x:row>
    <x:row r="24" ht="28" customHeight="1">
      <x:c r="A24" s="190" t="n">
        <x:v>23</x:v>
      </x:c>
      <x:c r="B24" s="180" t="str">
        <x:v>Quantitative Aptitude</x:v>
      </x:c>
      <x:c r="C24" s="180" t="str">
        <x:v>Number Series</x:v>
      </x:c>
      <x:c r="D24" s="180" t="str">
        <x:v>Medium</x:v>
      </x:c>
      <x:c r="E24" s="180" t="n">
        <x:v>12</x:v>
      </x:c>
      <x:c r="F24" s="196" t="str">
        <x:v>Not Started</x:v>
      </x:c>
      <x:c r="G24" s="196" t="n">
        <x:v>3</x:v>
      </x:c>
      <x:c r="H24" s="194"/>
      <x:c r="I24" s="200"/>
      <x:c r="J24" s="194"/>
      <x:c r="K24" s="194"/>
    </x:row>
    <x:row r="25" ht="28" customHeight="1">
      <x:c r="A25" s="190" t="n">
        <x:v>24</x:v>
      </x:c>
      <x:c r="B25" s="180" t="str">
        <x:v>Quantitative Aptitude</x:v>
      </x:c>
      <x:c r="C25" s="180" t="str">
        <x:v>Data Interpretation</x:v>
      </x:c>
      <x:c r="D25" s="180" t="str">
        <x:v>High</x:v>
      </x:c>
      <x:c r="E25" s="180" t="n">
        <x:v>13</x:v>
      </x:c>
      <x:c r="F25" s="196" t="str">
        <x:v>Not Started</x:v>
      </x:c>
      <x:c r="G25" s="196" t="n">
        <x:v>3</x:v>
      </x:c>
      <x:c r="H25" s="194"/>
      <x:c r="I25" s="200"/>
      <x:c r="J25" s="194"/>
      <x:c r="K25" s="194"/>
    </x:row>
    <x:row r="26" ht="28" customHeight="1">
      <x:c r="A26" s="190" t="n">
        <x:v>25</x:v>
      </x:c>
      <x:c r="B26" s="180" t="str">
        <x:v>Quantitative Aptitude</x:v>
      </x:c>
      <x:c r="C26" s="180" t="str">
        <x:v>Data Sufficiency</x:v>
      </x:c>
      <x:c r="D26" s="180" t="str">
        <x:v>Medium</x:v>
      </x:c>
      <x:c r="E26" s="180" t="n">
        <x:v>13</x:v>
      </x:c>
      <x:c r="F26" s="196" t="str">
        <x:v>Not Started</x:v>
      </x:c>
      <x:c r="G26" s="196" t="n">
        <x:v>3</x:v>
      </x:c>
      <x:c r="H26" s="194"/>
      <x:c r="I26" s="200"/>
      <x:c r="J26" s="194"/>
      <x:c r="K26" s="194"/>
    </x:row>
    <x:row r="27" ht="28" customHeight="1">
      <x:c r="A27" s="190" t="n">
        <x:v>26</x:v>
      </x:c>
      <x:c r="B27" s="180" t="str">
        <x:v>Logical Reasoning</x:v>
      </x:c>
      <x:c r="C27" s="180" t="str">
        <x:v>Alphabet Test</x:v>
      </x:c>
      <x:c r="D27" s="180" t="str">
        <x:v>Medium</x:v>
      </x:c>
      <x:c r="E27" s="180" t="n">
        <x:v>1</x:v>
      </x:c>
      <x:c r="F27" s="196" t="str">
        <x:v>Not Started</x:v>
      </x:c>
      <x:c r="G27" s="196" t="n">
        <x:v>3</x:v>
      </x:c>
      <x:c r="H27" s="194"/>
      <x:c r="I27" s="200"/>
      <x:c r="J27" s="194"/>
      <x:c r="K27" s="194"/>
    </x:row>
    <x:row r="28" ht="28" customHeight="1">
      <x:c r="A28" s="190" t="n">
        <x:v>27</x:v>
      </x:c>
      <x:c r="B28" s="180" t="str">
        <x:v>Logical Reasoning</x:v>
      </x:c>
      <x:c r="C28" s="180" t="str">
        <x:v>Coding–Decoding</x:v>
      </x:c>
      <x:c r="D28" s="180" t="str">
        <x:v>High</x:v>
      </x:c>
      <x:c r="E28" s="180" t="n">
        <x:v>1</x:v>
      </x:c>
      <x:c r="F28" s="196" t="str">
        <x:v>Not Started</x:v>
      </x:c>
      <x:c r="G28" s="196" t="n">
        <x:v>3</x:v>
      </x:c>
      <x:c r="H28" s="194"/>
      <x:c r="I28" s="200"/>
      <x:c r="J28" s="194"/>
      <x:c r="K28" s="194"/>
    </x:row>
    <x:row r="29" ht="28" customHeight="1">
      <x:c r="A29" s="190" t="n">
        <x:v>28</x:v>
      </x:c>
      <x:c r="B29" s="180" t="str">
        <x:v>Logical Reasoning</x:v>
      </x:c>
      <x:c r="C29" s="180" t="str">
        <x:v>Blood Relations</x:v>
      </x:c>
      <x:c r="D29" s="180" t="str">
        <x:v>Medium</x:v>
      </x:c>
      <x:c r="E29" s="180" t="n">
        <x:v>2</x:v>
      </x:c>
      <x:c r="F29" s="196" t="str">
        <x:v>Not Started</x:v>
      </x:c>
      <x:c r="G29" s="196" t="n">
        <x:v>3</x:v>
      </x:c>
      <x:c r="H29" s="194"/>
      <x:c r="I29" s="200"/>
      <x:c r="J29" s="194"/>
      <x:c r="K29" s="194"/>
    </x:row>
    <x:row r="30" ht="28" customHeight="1">
      <x:c r="A30" s="190" t="n">
        <x:v>29</x:v>
      </x:c>
      <x:c r="B30" s="180" t="str">
        <x:v>Logical Reasoning</x:v>
      </x:c>
      <x:c r="C30" s="180" t="str">
        <x:v>Order / Ranking</x:v>
      </x:c>
      <x:c r="D30" s="180" t="str">
        <x:v>Medium</x:v>
      </x:c>
      <x:c r="E30" s="180" t="n">
        <x:v>2</x:v>
      </x:c>
      <x:c r="F30" s="196" t="str">
        <x:v>Not Started</x:v>
      </x:c>
      <x:c r="G30" s="196" t="n">
        <x:v>3</x:v>
      </x:c>
      <x:c r="H30" s="194"/>
      <x:c r="I30" s="200"/>
      <x:c r="J30" s="194"/>
      <x:c r="K30" s="194"/>
    </x:row>
    <x:row r="31" ht="28" customHeight="1">
      <x:c r="A31" s="190" t="n">
        <x:v>30</x:v>
      </x:c>
      <x:c r="B31" s="180" t="str">
        <x:v>Logical Reasoning</x:v>
      </x:c>
      <x:c r="C31" s="180" t="str">
        <x:v>Direction Sense</x:v>
      </x:c>
      <x:c r="D31" s="180" t="str">
        <x:v>Medium</x:v>
      </x:c>
      <x:c r="E31" s="180" t="n">
        <x:v>2</x:v>
      </x:c>
      <x:c r="F31" s="196" t="str">
        <x:v>Not Started</x:v>
      </x:c>
      <x:c r="G31" s="196" t="n">
        <x:v>3</x:v>
      </x:c>
      <x:c r="H31" s="194"/>
      <x:c r="I31" s="200"/>
      <x:c r="J31" s="194"/>
      <x:c r="K31" s="194"/>
    </x:row>
    <x:row r="32" ht="28" customHeight="1">
      <x:c r="A32" s="190" t="n">
        <x:v>31</x:v>
      </x:c>
      <x:c r="B32" s="180" t="str">
        <x:v>Logical Reasoning</x:v>
      </x:c>
      <x:c r="C32" s="180" t="str">
        <x:v>Syllogisms</x:v>
      </x:c>
      <x:c r="D32" s="180" t="str">
        <x:v>High</x:v>
      </x:c>
      <x:c r="E32" s="180" t="n">
        <x:v>3</x:v>
      </x:c>
      <x:c r="F32" s="196" t="str">
        <x:v>Not Started</x:v>
      </x:c>
      <x:c r="G32" s="196" t="n">
        <x:v>3</x:v>
      </x:c>
      <x:c r="H32" s="194"/>
      <x:c r="I32" s="200"/>
      <x:c r="J32" s="194"/>
      <x:c r="K32" s="194"/>
    </x:row>
    <x:row r="33" ht="28" customHeight="1">
      <x:c r="A33" s="190" t="n">
        <x:v>32</x:v>
      </x:c>
      <x:c r="B33" s="180" t="str">
        <x:v>Logical Reasoning</x:v>
      </x:c>
      <x:c r="C33" s="180" t="str">
        <x:v>Inequalities</x:v>
      </x:c>
      <x:c r="D33" s="180" t="str">
        <x:v>Medium</x:v>
      </x:c>
      <x:c r="E33" s="180" t="n">
        <x:v>3</x:v>
      </x:c>
      <x:c r="F33" s="196" t="str">
        <x:v>Not Started</x:v>
      </x:c>
      <x:c r="G33" s="196" t="n">
        <x:v>3</x:v>
      </x:c>
      <x:c r="H33" s="194"/>
      <x:c r="I33" s="200"/>
      <x:c r="J33" s="194"/>
      <x:c r="K33" s="194"/>
    </x:row>
    <x:row r="34" ht="28" customHeight="1">
      <x:c r="A34" s="190" t="n">
        <x:v>33</x:v>
      </x:c>
      <x:c r="B34" s="180" t="str">
        <x:v>Logical Reasoning</x:v>
      </x:c>
      <x:c r="C34" s="180" t="str">
        <x:v>Input–Output</x:v>
      </x:c>
      <x:c r="D34" s="180" t="str">
        <x:v>Medium</x:v>
      </x:c>
      <x:c r="E34" s="180" t="n">
        <x:v>4</x:v>
      </x:c>
      <x:c r="F34" s="196" t="str">
        <x:v>Not Started</x:v>
      </x:c>
      <x:c r="G34" s="196" t="n">
        <x:v>3</x:v>
      </x:c>
      <x:c r="H34" s="194"/>
      <x:c r="I34" s="200"/>
      <x:c r="J34" s="194"/>
      <x:c r="K34" s="194"/>
    </x:row>
    <x:row r="35" ht="28" customHeight="1">
      <x:c r="A35" s="190" t="n">
        <x:v>34</x:v>
      </x:c>
      <x:c r="B35" s="180" t="str">
        <x:v>Logical Reasoning</x:v>
      </x:c>
      <x:c r="C35" s="180" t="str">
        <x:v>Letter Series</x:v>
      </x:c>
      <x:c r="D35" s="180" t="str">
        <x:v>Medium</x:v>
      </x:c>
      <x:c r="E35" s="180" t="n">
        <x:v>4</x:v>
      </x:c>
      <x:c r="F35" s="196" t="str">
        <x:v>Not Started</x:v>
      </x:c>
      <x:c r="G35" s="196" t="n">
        <x:v>3</x:v>
      </x:c>
      <x:c r="H35" s="194"/>
      <x:c r="I35" s="200"/>
      <x:c r="J35" s="194"/>
      <x:c r="K35" s="194"/>
    </x:row>
    <x:row r="36" ht="28" customHeight="1">
      <x:c r="A36" s="190" t="n">
        <x:v>35</x:v>
      </x:c>
      <x:c r="B36" s="180" t="str">
        <x:v>Logical Reasoning</x:v>
      </x:c>
      <x:c r="C36" s="180" t="str">
        <x:v>Seating Arrangement</x:v>
      </x:c>
      <x:c r="D36" s="180" t="str">
        <x:v>High</x:v>
      </x:c>
      <x:c r="E36" s="180" t="n">
        <x:v>5</x:v>
      </x:c>
      <x:c r="F36" s="196" t="str">
        <x:v>Not Started</x:v>
      </x:c>
      <x:c r="G36" s="196" t="n">
        <x:v>3</x:v>
      </x:c>
      <x:c r="H36" s="194"/>
      <x:c r="I36" s="200"/>
      <x:c r="J36" s="194"/>
      <x:c r="K36" s="194"/>
    </x:row>
    <x:row r="37" ht="28" customHeight="1">
      <x:c r="A37" s="190" t="n">
        <x:v>36</x:v>
      </x:c>
      <x:c r="B37" s="180" t="str">
        <x:v>Logical Reasoning</x:v>
      </x:c>
      <x:c r="C37" s="180" t="str">
        <x:v>Linear &amp; Circular Puzzles</x:v>
      </x:c>
      <x:c r="D37" s="180" t="str">
        <x:v>High</x:v>
      </x:c>
      <x:c r="E37" s="180" t="n">
        <x:v>6</x:v>
      </x:c>
      <x:c r="F37" s="196" t="str">
        <x:v>Not Started</x:v>
      </x:c>
      <x:c r="G37" s="196" t="n">
        <x:v>3</x:v>
      </x:c>
      <x:c r="H37" s="194"/>
      <x:c r="I37" s="200"/>
      <x:c r="J37" s="194"/>
      <x:c r="K37" s="194"/>
    </x:row>
    <x:row r="38" ht="28" customHeight="1">
      <x:c r="A38" s="190" t="n">
        <x:v>37</x:v>
      </x:c>
      <x:c r="B38" s="180" t="str">
        <x:v>Logical Reasoning</x:v>
      </x:c>
      <x:c r="C38" s="180" t="str">
        <x:v>Floor / Box / Month Puzzles</x:v>
      </x:c>
      <x:c r="D38" s="180" t="str">
        <x:v>High</x:v>
      </x:c>
      <x:c r="E38" s="180" t="n">
        <x:v>7</x:v>
      </x:c>
      <x:c r="F38" s="196" t="str">
        <x:v>Not Started</x:v>
      </x:c>
      <x:c r="G38" s="196" t="n">
        <x:v>3</x:v>
      </x:c>
      <x:c r="H38" s="194"/>
      <x:c r="I38" s="200"/>
      <x:c r="J38" s="194"/>
      <x:c r="K38" s="194"/>
    </x:row>
    <x:row r="39" ht="28" customHeight="1">
      <x:c r="A39" s="190" t="n">
        <x:v>38</x:v>
      </x:c>
      <x:c r="B39" s="180" t="str">
        <x:v>Logical Reasoning</x:v>
      </x:c>
      <x:c r="C39" s="180" t="str">
        <x:v>Data Sufficiency</x:v>
      </x:c>
      <x:c r="D39" s="180" t="str">
        <x:v>Medium</x:v>
      </x:c>
      <x:c r="E39" s="180" t="n">
        <x:v>8</x:v>
      </x:c>
      <x:c r="F39" s="196" t="str">
        <x:v>Not Started</x:v>
      </x:c>
      <x:c r="G39" s="196" t="n">
        <x:v>3</x:v>
      </x:c>
      <x:c r="H39" s="194"/>
      <x:c r="I39" s="200"/>
      <x:c r="J39" s="194"/>
      <x:c r="K39" s="194"/>
    </x:row>
    <x:row r="40" ht="28" customHeight="1">
      <x:c r="A40" s="190" t="n">
        <x:v>39</x:v>
      </x:c>
      <x:c r="B40" s="180" t="str">
        <x:v>Logical Reasoning</x:v>
      </x:c>
      <x:c r="C40" s="180" t="str">
        <x:v>Decision Making</x:v>
      </x:c>
      <x:c r="D40" s="180" t="str">
        <x:v>Medium</x:v>
      </x:c>
      <x:c r="E40" s="180" t="n">
        <x:v>8</x:v>
      </x:c>
      <x:c r="F40" s="196" t="str">
        <x:v>Not Started</x:v>
      </x:c>
      <x:c r="G40" s="196" t="n">
        <x:v>3</x:v>
      </x:c>
      <x:c r="H40" s="194"/>
      <x:c r="I40" s="200"/>
      <x:c r="J40" s="194"/>
      <x:c r="K40" s="194"/>
    </x:row>
    <x:row r="41" ht="28" customHeight="1">
      <x:c r="A41" s="190" t="n">
        <x:v>40</x:v>
      </x:c>
      <x:c r="B41" s="180" t="str">
        <x:v>Logical Reasoning</x:v>
      </x:c>
      <x:c r="C41" s="180" t="str">
        <x:v>Assumptions / Arguments / Conclusions</x:v>
      </x:c>
      <x:c r="D41" s="180" t="str">
        <x:v>Medium</x:v>
      </x:c>
      <x:c r="E41" s="180" t="n">
        <x:v>10</x:v>
      </x:c>
      <x:c r="F41" s="196" t="str">
        <x:v>Not Started</x:v>
      </x:c>
      <x:c r="G41" s="196" t="n">
        <x:v>3</x:v>
      </x:c>
      <x:c r="H41" s="194"/>
      <x:c r="I41" s="200"/>
      <x:c r="J41" s="194"/>
      <x:c r="K41" s="194"/>
    </x:row>
    <x:row r="42" ht="28" customHeight="1">
      <x:c r="A42" s="190" t="n">
        <x:v>41</x:v>
      </x:c>
      <x:c r="B42" s="180" t="str">
        <x:v>Logical Reasoning</x:v>
      </x:c>
      <x:c r="C42" s="180" t="str">
        <x:v>Clocks &amp; Calendars</x:v>
      </x:c>
      <x:c r="D42" s="180" t="str">
        <x:v>Low</x:v>
      </x:c>
      <x:c r="E42" s="180" t="n">
        <x:v>12</x:v>
      </x:c>
      <x:c r="F42" s="196" t="str">
        <x:v>Not Started</x:v>
      </x:c>
      <x:c r="G42" s="196" t="n">
        <x:v>3</x:v>
      </x:c>
      <x:c r="H42" s="194"/>
      <x:c r="I42" s="200"/>
      <x:c r="J42" s="194"/>
      <x:c r="K42" s="194"/>
    </x:row>
    <x:row r="43" ht="28" customHeight="1">
      <x:c r="A43" s="190" t="n">
        <x:v>42</x:v>
      </x:c>
      <x:c r="B43" s="180" t="str">
        <x:v>Logical Reasoning</x:v>
      </x:c>
      <x:c r="C43" s="180" t="str">
        <x:v>Venn Diagrams</x:v>
      </x:c>
      <x:c r="D43" s="180" t="str">
        <x:v>Medium</x:v>
      </x:c>
      <x:c r="E43" s="180" t="n">
        <x:v>12</x:v>
      </x:c>
      <x:c r="F43" s="196" t="str">
        <x:v>Not Started</x:v>
      </x:c>
      <x:c r="G43" s="196" t="n">
        <x:v>3</x:v>
      </x:c>
      <x:c r="H43" s="194"/>
      <x:c r="I43" s="200"/>
      <x:c r="J43" s="194"/>
      <x:c r="K43" s="194"/>
    </x:row>
    <x:row r="44" ht="28" customHeight="1">
      <x:c r="A44" s="190" t="n">
        <x:v>43</x:v>
      </x:c>
      <x:c r="B44" s="180" t="str">
        <x:v>Logical Reasoning</x:v>
      </x:c>
      <x:c r="C44" s="180" t="str">
        <x:v>Matrix / Coded Equation</x:v>
      </x:c>
      <x:c r="D44" s="180" t="str">
        <x:v>Medium</x:v>
      </x:c>
      <x:c r="E44" s="180" t="n">
        <x:v>13</x:v>
      </x:c>
      <x:c r="F44" s="196" t="str">
        <x:v>Not Started</x:v>
      </x:c>
      <x:c r="G44" s="196" t="n">
        <x:v>3</x:v>
      </x:c>
      <x:c r="H44" s="194"/>
      <x:c r="I44" s="200"/>
      <x:c r="J44" s="194"/>
      <x:c r="K44" s="194"/>
    </x:row>
    <x:row r="45" ht="28" customHeight="1">
      <x:c r="A45" s="190" t="n">
        <x:v>44</x:v>
      </x:c>
      <x:c r="B45" s="180" t="str">
        <x:v>Abstract Reasoning</x:v>
      </x:c>
      <x:c r="C45" s="180" t="str">
        <x:v>Cubes / Dice / Cuboids</x:v>
      </x:c>
      <x:c r="D45" s="180" t="str">
        <x:v>Medium</x:v>
      </x:c>
      <x:c r="E45" s="180" t="n">
        <x:v>14</x:v>
      </x:c>
      <x:c r="F45" s="196" t="str">
        <x:v>Not Started</x:v>
      </x:c>
      <x:c r="G45" s="196" t="n">
        <x:v>3</x:v>
      </x:c>
      <x:c r="H45" s="194"/>
      <x:c r="I45" s="200"/>
      <x:c r="J45" s="194"/>
      <x:c r="K45" s="194"/>
    </x:row>
    <x:row r="46" ht="28" customHeight="1">
      <x:c r="A46" s="190" t="n">
        <x:v>45</x:v>
      </x:c>
      <x:c r="B46" s="180" t="str">
        <x:v>Abstract Reasoning</x:v>
      </x:c>
      <x:c r="C46" s="180" t="str">
        <x:v>Non-Verbal Pattern Recognition</x:v>
      </x:c>
      <x:c r="D46" s="180" t="str">
        <x:v>High</x:v>
      </x:c>
      <x:c r="E46" s="180" t="n">
        <x:v>14</x:v>
      </x:c>
      <x:c r="F46" s="196" t="str">
        <x:v>Not Started</x:v>
      </x:c>
      <x:c r="G46" s="196" t="n">
        <x:v>3</x:v>
      </x:c>
      <x:c r="H46" s="194"/>
      <x:c r="I46" s="200"/>
      <x:c r="J46" s="194"/>
      <x:c r="K46" s="194"/>
    </x:row>
    <x:row r="47" ht="28" customHeight="1">
      <x:c r="A47" s="190" t="n">
        <x:v>46</x:v>
      </x:c>
      <x:c r="B47" s="180" t="str">
        <x:v>Abstract Reasoning</x:v>
      </x:c>
      <x:c r="C47" s="180" t="str">
        <x:v>Water Image / Mirror Image</x:v>
      </x:c>
      <x:c r="D47" s="180" t="str">
        <x:v>Medium</x:v>
      </x:c>
      <x:c r="E47" s="180" t="n">
        <x:v>16</x:v>
      </x:c>
      <x:c r="F47" s="196" t="str">
        <x:v>Not Started</x:v>
      </x:c>
      <x:c r="G47" s="196" t="n">
        <x:v>3</x:v>
      </x:c>
      <x:c r="H47" s="194"/>
      <x:c r="I47" s="200"/>
      <x:c r="J47" s="194"/>
      <x:c r="K47" s="194"/>
    </x:row>
    <x:row r="48" ht="28" customHeight="1">
      <x:c r="A48" s="190" t="n">
        <x:v>47</x:v>
      </x:c>
      <x:c r="B48" s="180" t="str">
        <x:v>Abstract Reasoning</x:v>
      </x:c>
      <x:c r="C48" s="180" t="str">
        <x:v>Missing Number</x:v>
      </x:c>
      <x:c r="D48" s="180" t="str">
        <x:v>Medium</x:v>
      </x:c>
      <x:c r="E48" s="180" t="n">
        <x:v>16</x:v>
      </x:c>
      <x:c r="F48" s="196" t="str">
        <x:v>Not Started</x:v>
      </x:c>
      <x:c r="G48" s="196" t="n">
        <x:v>3</x:v>
      </x:c>
      <x:c r="H48" s="194"/>
      <x:c r="I48" s="200"/>
      <x:c r="J48" s="194"/>
      <x:c r="K48" s="194"/>
    </x:row>
    <x:row r="49" ht="28" customHeight="1">
      <x:c r="A49" s="190" t="n">
        <x:v>48</x:v>
      </x:c>
      <x:c r="B49" s="180" t="str">
        <x:v>Abstract Reasoning</x:v>
      </x:c>
      <x:c r="C49" s="180" t="str">
        <x:v>Analogy / Classification</x:v>
      </x:c>
      <x:c r="D49" s="180" t="str">
        <x:v>Medium</x:v>
      </x:c>
      <x:c r="E49" s="180" t="n">
        <x:v>17</x:v>
      </x:c>
      <x:c r="F49" s="196" t="str">
        <x:v>Not Started</x:v>
      </x:c>
      <x:c r="G49" s="196" t="n">
        <x:v>3</x:v>
      </x:c>
      <x:c r="H49" s="194"/>
      <x:c r="I49" s="200"/>
      <x:c r="J49" s="194"/>
      <x:c r="K49" s="194"/>
    </x:row>
    <x:row r="50" ht="28" customHeight="1">
      <x:c r="A50" s="190" t="n">
        <x:v>49</x:v>
      </x:c>
      <x:c r="B50" s="180" t="str">
        <x:v>Abstract Reasoning</x:v>
      </x:c>
      <x:c r="C50" s="180" t="str">
        <x:v>Paper Cutting / Folding</x:v>
      </x:c>
      <x:c r="D50" s="180" t="str">
        <x:v>Medium</x:v>
      </x:c>
      <x:c r="E50" s="180" t="n">
        <x:v>15</x:v>
      </x:c>
      <x:c r="F50" s="196" t="str">
        <x:v>Not Started</x:v>
      </x:c>
      <x:c r="G50" s="196" t="n">
        <x:v>3</x:v>
      </x:c>
      <x:c r="H50" s="194"/>
      <x:c r="I50" s="200"/>
      <x:c r="J50" s="194"/>
      <x:c r="K50" s="194"/>
    </x:row>
    <x:row r="51" ht="28" customHeight="1">
      <x:c r="A51" s="190" t="n">
        <x:v>50</x:v>
      </x:c>
      <x:c r="B51" s="180" t="str">
        <x:v>Abstract Reasoning</x:v>
      </x:c>
      <x:c r="C51" s="180" t="str">
        <x:v>Figure Series / Pattern Perception</x:v>
      </x:c>
      <x:c r="D51" s="180" t="str">
        <x:v>High</x:v>
      </x:c>
      <x:c r="E51" s="180" t="n">
        <x:v>15</x:v>
      </x:c>
      <x:c r="F51" s="196" t="str">
        <x:v>Not Started</x:v>
      </x:c>
      <x:c r="G51" s="196" t="n">
        <x:v>3</x:v>
      </x:c>
      <x:c r="H51" s="194"/>
      <x:c r="I51" s="200"/>
      <x:c r="J51" s="194"/>
      <x:c r="K51" s="194"/>
    </x:row>
    <x:row r="52" ht="28" customHeight="1">
      <x:c r="A52" s="190" t="n">
        <x:v>51</x:v>
      </x:c>
      <x:c r="B52" s="180" t="str">
        <x:v>VARC Maintenance</x:v>
      </x:c>
      <x:c r="C52" s="180" t="str">
        <x:v>Reading Comprehension</x:v>
      </x:c>
      <x:c r="D52" s="180" t="str">
        <x:v>High</x:v>
      </x:c>
      <x:c r="E52" s="180" t="n">
        <x:v>1</x:v>
      </x:c>
      <x:c r="F52" s="196" t="str">
        <x:v>Not Started</x:v>
      </x:c>
      <x:c r="G52" s="196" t="n">
        <x:v>3</x:v>
      </x:c>
      <x:c r="H52" s="194"/>
      <x:c r="I52" s="200"/>
      <x:c r="J52" s="194"/>
      <x:c r="K52" s="194"/>
    </x:row>
    <x:row r="53" ht="28" customHeight="1">
      <x:c r="A53" s="190" t="n">
        <x:v>52</x:v>
      </x:c>
      <x:c r="B53" s="180" t="str">
        <x:v>VARC Maintenance</x:v>
      </x:c>
      <x:c r="C53" s="180" t="str">
        <x:v>Vocabulary / Idioms</x:v>
      </x:c>
      <x:c r="D53" s="180" t="str">
        <x:v>Medium</x:v>
      </x:c>
      <x:c r="E53" s="180" t="n">
        <x:v>1</x:v>
      </x:c>
      <x:c r="F53" s="196" t="str">
        <x:v>Not Started</x:v>
      </x:c>
      <x:c r="G53" s="196" t="n">
        <x:v>3</x:v>
      </x:c>
      <x:c r="H53" s="194"/>
      <x:c r="I53" s="200"/>
      <x:c r="J53" s="194"/>
      <x:c r="K53" s="194"/>
    </x:row>
    <x:row r="54" ht="28" customHeight="1">
      <x:c r="A54" s="190" t="n">
        <x:v>53</x:v>
      </x:c>
      <x:c r="B54" s="180" t="str">
        <x:v>VARC Maintenance</x:v>
      </x:c>
      <x:c r="C54" s="180" t="str">
        <x:v>Grammar / Error Spotting</x:v>
      </x:c>
      <x:c r="D54" s="180" t="str">
        <x:v>Medium</x:v>
      </x:c>
      <x:c r="E54" s="180" t="n">
        <x:v>1</x:v>
      </x:c>
      <x:c r="F54" s="196" t="str">
        <x:v>Not Started</x:v>
      </x:c>
      <x:c r="G54" s="196" t="n">
        <x:v>3</x:v>
      </x:c>
      <x:c r="H54" s="194"/>
      <x:c r="I54" s="200"/>
      <x:c r="J54" s="194"/>
      <x:c r="K54" s="194"/>
    </x:row>
    <x:row r="55" ht="28" customHeight="1">
      <x:c r="A55" s="190" t="n">
        <x:v>54</x:v>
      </x:c>
      <x:c r="B55" s="180" t="str">
        <x:v>VARC Maintenance</x:v>
      </x:c>
      <x:c r="C55" s="180" t="str">
        <x:v>Cloze / Sentence Improvement</x:v>
      </x:c>
      <x:c r="D55" s="180" t="str">
        <x:v>Medium</x:v>
      </x:c>
      <x:c r="E55" s="180" t="n">
        <x:v>2</x:v>
      </x:c>
      <x:c r="F55" s="196" t="str">
        <x:v>Not Started</x:v>
      </x:c>
      <x:c r="G55" s="196" t="n">
        <x:v>3</x:v>
      </x:c>
      <x:c r="H55" s="194"/>
      <x:c r="I55" s="200"/>
      <x:c r="J55" s="194"/>
      <x:c r="K55" s="194"/>
    </x:row>
    <x:row r="56" ht="28" customHeight="1">
      <x:c r="A56" s="190" t="n">
        <x:v>55</x:v>
      </x:c>
      <x:c r="B56" s="180" t="str">
        <x:v>VARC Maintenance</x:v>
      </x:c>
      <x:c r="C56" s="180" t="str">
        <x:v>Jumbled Paragraphs</x:v>
      </x:c>
      <x:c r="D56" s="180" t="str">
        <x:v>Low</x:v>
      </x:c>
      <x:c r="E56" s="180" t="n">
        <x:v>2</x:v>
      </x:c>
      <x:c r="F56" s="196" t="str">
        <x:v>Not Started</x:v>
      </x:c>
      <x:c r="G56" s="196" t="n">
        <x:v>3</x:v>
      </x:c>
      <x:c r="H56" s="194"/>
      <x:c r="I56" s="200"/>
      <x:c r="J56" s="194"/>
      <x:c r="K56" s="194"/>
    </x:row>
    <x:row r="57" ht="28" customHeight="1">
      <x:c r="A57" s="190" t="n">
        <x:v>56</x:v>
      </x:c>
      <x:c r="B57" s="180" t="str">
        <x:v>VARC Maintenance</x:v>
      </x:c>
      <x:c r="C57" s="180" t="str">
        <x:v>Inference / Tone / Main Idea</x:v>
      </x:c>
      <x:c r="D57" s="180" t="str">
        <x:v>High</x:v>
      </x:c>
      <x:c r="E57" s="180" t="n">
        <x:v>2</x:v>
      </x:c>
      <x:c r="F57" s="196" t="str">
        <x:v>Not Started</x:v>
      </x:c>
      <x:c r="G57" s="196" t="n">
        <x:v>3</x:v>
      </x:c>
      <x:c r="H57" s="194"/>
      <x:c r="I57" s="200"/>
      <x:c r="J57" s="194"/>
      <x:c r="K57" s="194"/>
    </x:row>
  </x:sheetData>
  <x:conditionalFormatting sqref="F2:F57">
    <x:cfRule type="expression" dxfId="0" priority="1">
      <x:formula>F2="Done"</x:formula>
    </x:cfRule>
    <x:cfRule type="expression" dxfId="1" priority="2">
      <x:formula>F2="Needs Revision"</x:formula>
    </x:cfRule>
  </x:conditionalFormatting>
  <x:dataValidations count="4">
    <x:dataValidation type="list" sqref="F2:F57">
      <x:formula1>"Not Started,In Progress,Done,Needs Revision"</x:formula1>
    </x:dataValidation>
    <x:dataValidation type="list" sqref="D2:D57">
      <x:formula1>"High,Medium,Low"</x:formula1>
    </x:dataValidation>
    <x:dataValidation type="list" sqref="G2:G57">
      <x:formula1>"1,2,3,4,5"</x:formula1>
    </x:dataValidation>
    <x:dataValidation type="list" sqref="E2:E57">
      <x:formula1>"1,2,3,4,5,6,7,8,9,10,11,12,13,14,15,16,17,18,19,20,21,22,23,24"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6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</x:cols>
  <x:sheetData>
    <x:row r="1">
      <x:c r="A1" s="73" t="str">
        <x:v>Date</x:v>
      </x:c>
      <x:c r="B1" s="73" t="str">
        <x:v>Week No.</x:v>
      </x:c>
      <x:c r="C1" s="73" t="str">
        <x:v>Subject</x:v>
      </x:c>
      <x:c r="D1" s="73" t="str">
        <x:v>Topic / Session</x:v>
      </x:c>
      <x:c r="E1" s="73" t="str">
        <x:v>Planned Min</x:v>
      </x:c>
      <x:c r="F1" s="73" t="str">
        <x:v>Actual Min</x:v>
      </x:c>
      <x:c r="G1" s="73" t="str">
        <x:v>Questions Attempted</x:v>
      </x:c>
      <x:c r="H1" s="73" t="str">
        <x:v>Correct</x:v>
      </x:c>
      <x:c r="I1" s="73" t="str">
        <x:v>Accuracy %</x:v>
      </x:c>
      <x:c r="J1" s="73" t="str">
        <x:v>Status</x:v>
      </x:c>
      <x:c r="K1" s="73" t="str">
        <x:v>Confidence (1–5)</x:v>
      </x:c>
      <x:c r="L1" s="73" t="str">
        <x:v>Reflection / Next Action</x:v>
      </x:c>
    </x:row>
    <x:row r="2" ht="24" customHeight="1">
      <x:c r="A2" s="208"/>
      <x:c r="B2" s="195"/>
      <x:c r="C2" s="195"/>
      <x:c r="D2" s="195"/>
      <x:c r="E2" s="195"/>
      <x:c r="F2" s="195"/>
      <x:c r="G2" s="195"/>
      <x:c r="H2" s="195"/>
      <x:c r="I2" s="217" t="str">
        <x:f>IFERROR(H2/G2,"")</x:f>
      </x:c>
      <x:c r="J2" s="221" t="str">
        <x:v>Planned</x:v>
      </x:c>
      <x:c r="K2" s="221"/>
      <x:c r="L2" s="225"/>
    </x:row>
    <x:row r="3" ht="24" customHeight="1">
      <x:c r="A3" s="208"/>
      <x:c r="B3" s="195"/>
      <x:c r="C3" s="195"/>
      <x:c r="D3" s="195"/>
      <x:c r="E3" s="195"/>
      <x:c r="F3" s="195"/>
      <x:c r="G3" s="195"/>
      <x:c r="H3" s="195"/>
      <x:c r="I3" s="217" t="str">
        <x:f>IFERROR(H3/G3,"")</x:f>
      </x:c>
      <x:c r="J3" s="221" t="str">
        <x:v>Planned</x:v>
      </x:c>
      <x:c r="K3" s="221"/>
      <x:c r="L3" s="225"/>
    </x:row>
    <x:row r="4" ht="24" customHeight="1">
      <x:c r="A4" s="208"/>
      <x:c r="B4" s="195"/>
      <x:c r="C4" s="195"/>
      <x:c r="D4" s="195"/>
      <x:c r="E4" s="195"/>
      <x:c r="F4" s="195"/>
      <x:c r="G4" s="195"/>
      <x:c r="H4" s="195"/>
      <x:c r="I4" s="217" t="str">
        <x:f>IFERROR(H4/G4,"")</x:f>
      </x:c>
      <x:c r="J4" s="221" t="str">
        <x:v>Planned</x:v>
      </x:c>
      <x:c r="K4" s="221"/>
      <x:c r="L4" s="225"/>
    </x:row>
    <x:row r="5" ht="24" customHeight="1">
      <x:c r="A5" s="208"/>
      <x:c r="B5" s="195"/>
      <x:c r="C5" s="195"/>
      <x:c r="D5" s="195"/>
      <x:c r="E5" s="195"/>
      <x:c r="F5" s="195"/>
      <x:c r="G5" s="195"/>
      <x:c r="H5" s="195"/>
      <x:c r="I5" s="217" t="str">
        <x:f>IFERROR(H5/G5,"")</x:f>
      </x:c>
      <x:c r="J5" s="221" t="str">
        <x:v>Planned</x:v>
      </x:c>
      <x:c r="K5" s="221"/>
      <x:c r="L5" s="225"/>
    </x:row>
    <x:row r="6" ht="24" customHeight="1">
      <x:c r="A6" s="208"/>
      <x:c r="B6" s="195"/>
      <x:c r="C6" s="195"/>
      <x:c r="D6" s="195"/>
      <x:c r="E6" s="195"/>
      <x:c r="F6" s="195"/>
      <x:c r="G6" s="195"/>
      <x:c r="H6" s="195"/>
      <x:c r="I6" s="217" t="str">
        <x:f>IFERROR(H6/G6,"")</x:f>
      </x:c>
      <x:c r="J6" s="221" t="str">
        <x:v>Planned</x:v>
      </x:c>
      <x:c r="K6" s="221"/>
      <x:c r="L6" s="225"/>
    </x:row>
    <x:row r="7" ht="24" customHeight="1">
      <x:c r="A7" s="208"/>
      <x:c r="B7" s="195"/>
      <x:c r="C7" s="195"/>
      <x:c r="D7" s="195"/>
      <x:c r="E7" s="195"/>
      <x:c r="F7" s="195"/>
      <x:c r="G7" s="195"/>
      <x:c r="H7" s="195"/>
      <x:c r="I7" s="217" t="str">
        <x:f>IFERROR(H7/G7,"")</x:f>
      </x:c>
      <x:c r="J7" s="221" t="str">
        <x:v>Planned</x:v>
      </x:c>
      <x:c r="K7" s="221"/>
      <x:c r="L7" s="225"/>
    </x:row>
    <x:row r="8" ht="24" customHeight="1">
      <x:c r="A8" s="208"/>
      <x:c r="B8" s="195"/>
      <x:c r="C8" s="195"/>
      <x:c r="D8" s="195"/>
      <x:c r="E8" s="195"/>
      <x:c r="F8" s="195"/>
      <x:c r="G8" s="195"/>
      <x:c r="H8" s="195"/>
      <x:c r="I8" s="217" t="str">
        <x:f>IFERROR(H8/G8,"")</x:f>
      </x:c>
      <x:c r="J8" s="221" t="str">
        <x:v>Planned</x:v>
      </x:c>
      <x:c r="K8" s="221"/>
      <x:c r="L8" s="225"/>
    </x:row>
    <x:row r="9" ht="24" customHeight="1">
      <x:c r="A9" s="208"/>
      <x:c r="B9" s="195"/>
      <x:c r="C9" s="195"/>
      <x:c r="D9" s="195"/>
      <x:c r="E9" s="195"/>
      <x:c r="F9" s="195"/>
      <x:c r="G9" s="195"/>
      <x:c r="H9" s="195"/>
      <x:c r="I9" s="217" t="str">
        <x:f>IFERROR(H9/G9,"")</x:f>
      </x:c>
      <x:c r="J9" s="221" t="str">
        <x:v>Planned</x:v>
      </x:c>
      <x:c r="K9" s="221"/>
      <x:c r="L9" s="225"/>
    </x:row>
    <x:row r="10" ht="24" customHeight="1">
      <x:c r="A10" s="208"/>
      <x:c r="B10" s="195"/>
      <x:c r="C10" s="195"/>
      <x:c r="D10" s="195"/>
      <x:c r="E10" s="195"/>
      <x:c r="F10" s="195"/>
      <x:c r="G10" s="195"/>
      <x:c r="H10" s="195"/>
      <x:c r="I10" s="217" t="str">
        <x:f>IFERROR(H10/G10,"")</x:f>
      </x:c>
      <x:c r="J10" s="221" t="str">
        <x:v>Planned</x:v>
      </x:c>
      <x:c r="K10" s="221"/>
      <x:c r="L10" s="225"/>
    </x:row>
    <x:row r="11" ht="24" customHeight="1">
      <x:c r="A11" s="208"/>
      <x:c r="B11" s="195"/>
      <x:c r="C11" s="195"/>
      <x:c r="D11" s="195"/>
      <x:c r="E11" s="195"/>
      <x:c r="F11" s="195"/>
      <x:c r="G11" s="195"/>
      <x:c r="H11" s="195"/>
      <x:c r="I11" s="217" t="str">
        <x:f>IFERROR(H11/G11,"")</x:f>
      </x:c>
      <x:c r="J11" s="221" t="str">
        <x:v>Planned</x:v>
      </x:c>
      <x:c r="K11" s="221"/>
      <x:c r="L11" s="225"/>
    </x:row>
    <x:row r="12" ht="24" customHeight="1">
      <x:c r="A12" s="208"/>
      <x:c r="B12" s="195"/>
      <x:c r="C12" s="195"/>
      <x:c r="D12" s="195"/>
      <x:c r="E12" s="195"/>
      <x:c r="F12" s="195"/>
      <x:c r="G12" s="195"/>
      <x:c r="H12" s="195"/>
      <x:c r="I12" s="217" t="str">
        <x:f>IFERROR(H12/G12,"")</x:f>
      </x:c>
      <x:c r="J12" s="221" t="str">
        <x:v>Planned</x:v>
      </x:c>
      <x:c r="K12" s="221"/>
      <x:c r="L12" s="225"/>
    </x:row>
    <x:row r="13" ht="24" customHeight="1">
      <x:c r="A13" s="208"/>
      <x:c r="B13" s="195"/>
      <x:c r="C13" s="195"/>
      <x:c r="D13" s="195"/>
      <x:c r="E13" s="195"/>
      <x:c r="F13" s="195"/>
      <x:c r="G13" s="195"/>
      <x:c r="H13" s="195"/>
      <x:c r="I13" s="217" t="str">
        <x:f>IFERROR(H13/G13,"")</x:f>
      </x:c>
      <x:c r="J13" s="221" t="str">
        <x:v>Planned</x:v>
      </x:c>
      <x:c r="K13" s="221"/>
      <x:c r="L13" s="225"/>
    </x:row>
    <x:row r="14" ht="24" customHeight="1">
      <x:c r="A14" s="208"/>
      <x:c r="B14" s="195"/>
      <x:c r="C14" s="195"/>
      <x:c r="D14" s="195"/>
      <x:c r="E14" s="195"/>
      <x:c r="F14" s="195"/>
      <x:c r="G14" s="195"/>
      <x:c r="H14" s="195"/>
      <x:c r="I14" s="217" t="str">
        <x:f>IFERROR(H14/G14,"")</x:f>
      </x:c>
      <x:c r="J14" s="221" t="str">
        <x:v>Planned</x:v>
      </x:c>
      <x:c r="K14" s="221"/>
      <x:c r="L14" s="225"/>
    </x:row>
    <x:row r="15" ht="24" customHeight="1">
      <x:c r="A15" s="208"/>
      <x:c r="B15" s="195"/>
      <x:c r="C15" s="195"/>
      <x:c r="D15" s="195"/>
      <x:c r="E15" s="195"/>
      <x:c r="F15" s="195"/>
      <x:c r="G15" s="195"/>
      <x:c r="H15" s="195"/>
      <x:c r="I15" s="217" t="str">
        <x:f>IFERROR(H15/G15,"")</x:f>
      </x:c>
      <x:c r="J15" s="221" t="str">
        <x:v>Planned</x:v>
      </x:c>
      <x:c r="K15" s="221"/>
      <x:c r="L15" s="225"/>
    </x:row>
    <x:row r="16" ht="24" customHeight="1">
      <x:c r="A16" s="208"/>
      <x:c r="B16" s="195"/>
      <x:c r="C16" s="195"/>
      <x:c r="D16" s="195"/>
      <x:c r="E16" s="195"/>
      <x:c r="F16" s="195"/>
      <x:c r="G16" s="195"/>
      <x:c r="H16" s="195"/>
      <x:c r="I16" s="217" t="str">
        <x:f>IFERROR(H16/G16,"")</x:f>
      </x:c>
      <x:c r="J16" s="221" t="str">
        <x:v>Planned</x:v>
      </x:c>
      <x:c r="K16" s="221"/>
      <x:c r="L16" s="225"/>
    </x:row>
    <x:row r="17" ht="24" customHeight="1">
      <x:c r="A17" s="208"/>
      <x:c r="B17" s="195"/>
      <x:c r="C17" s="195"/>
      <x:c r="D17" s="195"/>
      <x:c r="E17" s="195"/>
      <x:c r="F17" s="195"/>
      <x:c r="G17" s="195"/>
      <x:c r="H17" s="195"/>
      <x:c r="I17" s="217" t="str">
        <x:f>IFERROR(H17/G17,"")</x:f>
      </x:c>
      <x:c r="J17" s="221" t="str">
        <x:v>Planned</x:v>
      </x:c>
      <x:c r="K17" s="221"/>
      <x:c r="L17" s="225"/>
    </x:row>
    <x:row r="18" ht="24" customHeight="1">
      <x:c r="A18" s="208"/>
      <x:c r="B18" s="195"/>
      <x:c r="C18" s="195"/>
      <x:c r="D18" s="195"/>
      <x:c r="E18" s="195"/>
      <x:c r="F18" s="195"/>
      <x:c r="G18" s="195"/>
      <x:c r="H18" s="195"/>
      <x:c r="I18" s="217" t="str">
        <x:f>IFERROR(H18/G18,"")</x:f>
      </x:c>
      <x:c r="J18" s="221" t="str">
        <x:v>Planned</x:v>
      </x:c>
      <x:c r="K18" s="221"/>
      <x:c r="L18" s="225"/>
    </x:row>
    <x:row r="19" ht="24" customHeight="1">
      <x:c r="A19" s="208"/>
      <x:c r="B19" s="195"/>
      <x:c r="C19" s="195"/>
      <x:c r="D19" s="195"/>
      <x:c r="E19" s="195"/>
      <x:c r="F19" s="195"/>
      <x:c r="G19" s="195"/>
      <x:c r="H19" s="195"/>
      <x:c r="I19" s="217" t="str">
        <x:f>IFERROR(H19/G19,"")</x:f>
      </x:c>
      <x:c r="J19" s="221" t="str">
        <x:v>Planned</x:v>
      </x:c>
      <x:c r="K19" s="221"/>
      <x:c r="L19" s="225"/>
    </x:row>
    <x:row r="20" ht="24" customHeight="1">
      <x:c r="A20" s="208"/>
      <x:c r="B20" s="195"/>
      <x:c r="C20" s="195"/>
      <x:c r="D20" s="195"/>
      <x:c r="E20" s="195"/>
      <x:c r="F20" s="195"/>
      <x:c r="G20" s="195"/>
      <x:c r="H20" s="195"/>
      <x:c r="I20" s="217" t="str">
        <x:f>IFERROR(H20/G20,"")</x:f>
      </x:c>
      <x:c r="J20" s="221" t="str">
        <x:v>Planned</x:v>
      </x:c>
      <x:c r="K20" s="221"/>
      <x:c r="L20" s="225"/>
    </x:row>
    <x:row r="21" ht="24" customHeight="1">
      <x:c r="A21" s="208"/>
      <x:c r="B21" s="195"/>
      <x:c r="C21" s="195"/>
      <x:c r="D21" s="195"/>
      <x:c r="E21" s="195"/>
      <x:c r="F21" s="195"/>
      <x:c r="G21" s="195"/>
      <x:c r="H21" s="195"/>
      <x:c r="I21" s="217" t="str">
        <x:f>IFERROR(H21/G21,"")</x:f>
      </x:c>
      <x:c r="J21" s="221" t="str">
        <x:v>Planned</x:v>
      </x:c>
      <x:c r="K21" s="221"/>
      <x:c r="L21" s="225"/>
    </x:row>
    <x:row r="22" ht="24" customHeight="1">
      <x:c r="A22" s="208"/>
      <x:c r="B22" s="195"/>
      <x:c r="C22" s="195"/>
      <x:c r="D22" s="195"/>
      <x:c r="E22" s="195"/>
      <x:c r="F22" s="195"/>
      <x:c r="G22" s="195"/>
      <x:c r="H22" s="195"/>
      <x:c r="I22" s="217" t="str">
        <x:f>IFERROR(H22/G22,"")</x:f>
      </x:c>
      <x:c r="J22" s="221" t="str">
        <x:v>Planned</x:v>
      </x:c>
      <x:c r="K22" s="221"/>
      <x:c r="L22" s="225"/>
    </x:row>
    <x:row r="23" ht="24" customHeight="1">
      <x:c r="A23" s="208"/>
      <x:c r="B23" s="195"/>
      <x:c r="C23" s="195"/>
      <x:c r="D23" s="195"/>
      <x:c r="E23" s="195"/>
      <x:c r="F23" s="195"/>
      <x:c r="G23" s="195"/>
      <x:c r="H23" s="195"/>
      <x:c r="I23" s="217" t="str">
        <x:f>IFERROR(H23/G23,"")</x:f>
      </x:c>
      <x:c r="J23" s="221" t="str">
        <x:v>Planned</x:v>
      </x:c>
      <x:c r="K23" s="221"/>
      <x:c r="L23" s="225"/>
    </x:row>
    <x:row r="24" ht="24" customHeight="1">
      <x:c r="A24" s="208"/>
      <x:c r="B24" s="195"/>
      <x:c r="C24" s="195"/>
      <x:c r="D24" s="195"/>
      <x:c r="E24" s="195"/>
      <x:c r="F24" s="195"/>
      <x:c r="G24" s="195"/>
      <x:c r="H24" s="195"/>
      <x:c r="I24" s="217" t="str">
        <x:f>IFERROR(H24/G24,"")</x:f>
      </x:c>
      <x:c r="J24" s="221" t="str">
        <x:v>Planned</x:v>
      </x:c>
      <x:c r="K24" s="221"/>
      <x:c r="L24" s="225"/>
    </x:row>
    <x:row r="25" ht="24" customHeight="1">
      <x:c r="A25" s="208"/>
      <x:c r="B25" s="195"/>
      <x:c r="C25" s="195"/>
      <x:c r="D25" s="195"/>
      <x:c r="E25" s="195"/>
      <x:c r="F25" s="195"/>
      <x:c r="G25" s="195"/>
      <x:c r="H25" s="195"/>
      <x:c r="I25" s="217" t="str">
        <x:f>IFERROR(H25/G25,"")</x:f>
      </x:c>
      <x:c r="J25" s="221" t="str">
        <x:v>Planned</x:v>
      </x:c>
      <x:c r="K25" s="221"/>
      <x:c r="L25" s="225"/>
    </x:row>
    <x:row r="26" ht="24" customHeight="1">
      <x:c r="A26" s="208"/>
      <x:c r="B26" s="195"/>
      <x:c r="C26" s="195"/>
      <x:c r="D26" s="195"/>
      <x:c r="E26" s="195"/>
      <x:c r="F26" s="195"/>
      <x:c r="G26" s="195"/>
      <x:c r="H26" s="195"/>
      <x:c r="I26" s="217" t="str">
        <x:f>IFERROR(H26/G26,"")</x:f>
      </x:c>
      <x:c r="J26" s="221" t="str">
        <x:v>Planned</x:v>
      </x:c>
      <x:c r="K26" s="221"/>
      <x:c r="L26" s="225"/>
    </x:row>
    <x:row r="27" ht="24" customHeight="1">
      <x:c r="A27" s="208"/>
      <x:c r="B27" s="195"/>
      <x:c r="C27" s="195"/>
      <x:c r="D27" s="195"/>
      <x:c r="E27" s="195"/>
      <x:c r="F27" s="195"/>
      <x:c r="G27" s="195"/>
      <x:c r="H27" s="195"/>
      <x:c r="I27" s="217" t="str">
        <x:f>IFERROR(H27/G27,"")</x:f>
      </x:c>
      <x:c r="J27" s="221" t="str">
        <x:v>Planned</x:v>
      </x:c>
      <x:c r="K27" s="221"/>
      <x:c r="L27" s="225"/>
    </x:row>
    <x:row r="28" ht="24" customHeight="1">
      <x:c r="A28" s="208"/>
      <x:c r="B28" s="195"/>
      <x:c r="C28" s="195"/>
      <x:c r="D28" s="195"/>
      <x:c r="E28" s="195"/>
      <x:c r="F28" s="195"/>
      <x:c r="G28" s="195"/>
      <x:c r="H28" s="195"/>
      <x:c r="I28" s="217" t="str">
        <x:f>IFERROR(H28/G28,"")</x:f>
      </x:c>
      <x:c r="J28" s="221" t="str">
        <x:v>Planned</x:v>
      </x:c>
      <x:c r="K28" s="221"/>
      <x:c r="L28" s="225"/>
    </x:row>
    <x:row r="29" ht="24" customHeight="1">
      <x:c r="A29" s="208"/>
      <x:c r="B29" s="195"/>
      <x:c r="C29" s="195"/>
      <x:c r="D29" s="195"/>
      <x:c r="E29" s="195"/>
      <x:c r="F29" s="195"/>
      <x:c r="G29" s="195"/>
      <x:c r="H29" s="195"/>
      <x:c r="I29" s="217" t="str">
        <x:f>IFERROR(H29/G29,"")</x:f>
      </x:c>
      <x:c r="J29" s="221" t="str">
        <x:v>Planned</x:v>
      </x:c>
      <x:c r="K29" s="221"/>
      <x:c r="L29" s="225"/>
    </x:row>
    <x:row r="30" ht="24" customHeight="1">
      <x:c r="A30" s="208"/>
      <x:c r="B30" s="195"/>
      <x:c r="C30" s="195"/>
      <x:c r="D30" s="195"/>
      <x:c r="E30" s="195"/>
      <x:c r="F30" s="195"/>
      <x:c r="G30" s="195"/>
      <x:c r="H30" s="195"/>
      <x:c r="I30" s="217" t="str">
        <x:f>IFERROR(H30/G30,"")</x:f>
      </x:c>
      <x:c r="J30" s="221" t="str">
        <x:v>Planned</x:v>
      </x:c>
      <x:c r="K30" s="221"/>
      <x:c r="L30" s="225"/>
    </x:row>
    <x:row r="31" ht="24" customHeight="1">
      <x:c r="A31" s="208"/>
      <x:c r="B31" s="195"/>
      <x:c r="C31" s="195"/>
      <x:c r="D31" s="195"/>
      <x:c r="E31" s="195"/>
      <x:c r="F31" s="195"/>
      <x:c r="G31" s="195"/>
      <x:c r="H31" s="195"/>
      <x:c r="I31" s="217" t="str">
        <x:f>IFERROR(H31/G31,"")</x:f>
      </x:c>
      <x:c r="J31" s="221" t="str">
        <x:v>Planned</x:v>
      </x:c>
      <x:c r="K31" s="221"/>
      <x:c r="L31" s="225"/>
    </x:row>
    <x:row r="32" ht="24" customHeight="1">
      <x:c r="A32" s="208"/>
      <x:c r="B32" s="195"/>
      <x:c r="C32" s="195"/>
      <x:c r="D32" s="195"/>
      <x:c r="E32" s="195"/>
      <x:c r="F32" s="195"/>
      <x:c r="G32" s="195"/>
      <x:c r="H32" s="195"/>
      <x:c r="I32" s="217" t="str">
        <x:f>IFERROR(H32/G32,"")</x:f>
      </x:c>
      <x:c r="J32" s="221" t="str">
        <x:v>Planned</x:v>
      </x:c>
      <x:c r="K32" s="221"/>
      <x:c r="L32" s="225"/>
    </x:row>
    <x:row r="33" ht="24" customHeight="1">
      <x:c r="A33" s="208"/>
      <x:c r="B33" s="195"/>
      <x:c r="C33" s="195"/>
      <x:c r="D33" s="195"/>
      <x:c r="E33" s="195"/>
      <x:c r="F33" s="195"/>
      <x:c r="G33" s="195"/>
      <x:c r="H33" s="195"/>
      <x:c r="I33" s="217" t="str">
        <x:f>IFERROR(H33/G33,"")</x:f>
      </x:c>
      <x:c r="J33" s="221" t="str">
        <x:v>Planned</x:v>
      </x:c>
      <x:c r="K33" s="221"/>
      <x:c r="L33" s="225"/>
    </x:row>
    <x:row r="34" ht="24" customHeight="1">
      <x:c r="A34" s="208"/>
      <x:c r="B34" s="195"/>
      <x:c r="C34" s="195"/>
      <x:c r="D34" s="195"/>
      <x:c r="E34" s="195"/>
      <x:c r="F34" s="195"/>
      <x:c r="G34" s="195"/>
      <x:c r="H34" s="195"/>
      <x:c r="I34" s="217" t="str">
        <x:f>IFERROR(H34/G34,"")</x:f>
      </x:c>
      <x:c r="J34" s="221" t="str">
        <x:v>Planned</x:v>
      </x:c>
      <x:c r="K34" s="221"/>
      <x:c r="L34" s="225"/>
    </x:row>
    <x:row r="35" ht="24" customHeight="1">
      <x:c r="A35" s="208"/>
      <x:c r="B35" s="195"/>
      <x:c r="C35" s="195"/>
      <x:c r="D35" s="195"/>
      <x:c r="E35" s="195"/>
      <x:c r="F35" s="195"/>
      <x:c r="G35" s="195"/>
      <x:c r="H35" s="195"/>
      <x:c r="I35" s="217" t="str">
        <x:f>IFERROR(H35/G35,"")</x:f>
      </x:c>
      <x:c r="J35" s="221" t="str">
        <x:v>Planned</x:v>
      </x:c>
      <x:c r="K35" s="221"/>
      <x:c r="L35" s="225"/>
    </x:row>
    <x:row r="36" ht="24" customHeight="1">
      <x:c r="A36" s="208"/>
      <x:c r="B36" s="195"/>
      <x:c r="C36" s="195"/>
      <x:c r="D36" s="195"/>
      <x:c r="E36" s="195"/>
      <x:c r="F36" s="195"/>
      <x:c r="G36" s="195"/>
      <x:c r="H36" s="195"/>
      <x:c r="I36" s="217" t="str">
        <x:f>IFERROR(H36/G36,"")</x:f>
      </x:c>
      <x:c r="J36" s="221" t="str">
        <x:v>Planned</x:v>
      </x:c>
      <x:c r="K36" s="221"/>
      <x:c r="L36" s="225"/>
    </x:row>
    <x:row r="37" ht="24" customHeight="1">
      <x:c r="A37" s="208"/>
      <x:c r="B37" s="195"/>
      <x:c r="C37" s="195"/>
      <x:c r="D37" s="195"/>
      <x:c r="E37" s="195"/>
      <x:c r="F37" s="195"/>
      <x:c r="G37" s="195"/>
      <x:c r="H37" s="195"/>
      <x:c r="I37" s="217" t="str">
        <x:f>IFERROR(H37/G37,"")</x:f>
      </x:c>
      <x:c r="J37" s="221" t="str">
        <x:v>Planned</x:v>
      </x:c>
      <x:c r="K37" s="221"/>
      <x:c r="L37" s="225"/>
    </x:row>
    <x:row r="38" ht="24" customHeight="1">
      <x:c r="A38" s="208"/>
      <x:c r="B38" s="195"/>
      <x:c r="C38" s="195"/>
      <x:c r="D38" s="195"/>
      <x:c r="E38" s="195"/>
      <x:c r="F38" s="195"/>
      <x:c r="G38" s="195"/>
      <x:c r="H38" s="195"/>
      <x:c r="I38" s="217" t="str">
        <x:f>IFERROR(H38/G38,"")</x:f>
      </x:c>
      <x:c r="J38" s="221" t="str">
        <x:v>Planned</x:v>
      </x:c>
      <x:c r="K38" s="221"/>
      <x:c r="L38" s="225"/>
    </x:row>
    <x:row r="39" ht="24" customHeight="1">
      <x:c r="A39" s="208"/>
      <x:c r="B39" s="195"/>
      <x:c r="C39" s="195"/>
      <x:c r="D39" s="195"/>
      <x:c r="E39" s="195"/>
      <x:c r="F39" s="195"/>
      <x:c r="G39" s="195"/>
      <x:c r="H39" s="195"/>
      <x:c r="I39" s="217" t="str">
        <x:f>IFERROR(H39/G39,"")</x:f>
      </x:c>
      <x:c r="J39" s="221" t="str">
        <x:v>Planned</x:v>
      </x:c>
      <x:c r="K39" s="221"/>
      <x:c r="L39" s="225"/>
    </x:row>
    <x:row r="40" ht="24" customHeight="1">
      <x:c r="A40" s="208"/>
      <x:c r="B40" s="195"/>
      <x:c r="C40" s="195"/>
      <x:c r="D40" s="195"/>
      <x:c r="E40" s="195"/>
      <x:c r="F40" s="195"/>
      <x:c r="G40" s="195"/>
      <x:c r="H40" s="195"/>
      <x:c r="I40" s="217" t="str">
        <x:f>IFERROR(H40/G40,"")</x:f>
      </x:c>
      <x:c r="J40" s="221" t="str">
        <x:v>Planned</x:v>
      </x:c>
      <x:c r="K40" s="221"/>
      <x:c r="L40" s="225"/>
    </x:row>
    <x:row r="41" ht="24" customHeight="1">
      <x:c r="A41" s="208"/>
      <x:c r="B41" s="195"/>
      <x:c r="C41" s="195"/>
      <x:c r="D41" s="195"/>
      <x:c r="E41" s="195"/>
      <x:c r="F41" s="195"/>
      <x:c r="G41" s="195"/>
      <x:c r="H41" s="195"/>
      <x:c r="I41" s="217" t="str">
        <x:f>IFERROR(H41/G41,"")</x:f>
      </x:c>
      <x:c r="J41" s="221" t="str">
        <x:v>Planned</x:v>
      </x:c>
      <x:c r="K41" s="221"/>
      <x:c r="L41" s="225"/>
    </x:row>
    <x:row r="42" ht="24" customHeight="1">
      <x:c r="A42" s="208"/>
      <x:c r="B42" s="195"/>
      <x:c r="C42" s="195"/>
      <x:c r="D42" s="195"/>
      <x:c r="E42" s="195"/>
      <x:c r="F42" s="195"/>
      <x:c r="G42" s="195"/>
      <x:c r="H42" s="195"/>
      <x:c r="I42" s="217" t="str">
        <x:f>IFERROR(H42/G42,"")</x:f>
      </x:c>
      <x:c r="J42" s="221" t="str">
        <x:v>Planned</x:v>
      </x:c>
      <x:c r="K42" s="221"/>
      <x:c r="L42" s="225"/>
    </x:row>
    <x:row r="43" ht="24" customHeight="1">
      <x:c r="A43" s="208"/>
      <x:c r="B43" s="195"/>
      <x:c r="C43" s="195"/>
      <x:c r="D43" s="195"/>
      <x:c r="E43" s="195"/>
      <x:c r="F43" s="195"/>
      <x:c r="G43" s="195"/>
      <x:c r="H43" s="195"/>
      <x:c r="I43" s="217" t="str">
        <x:f>IFERROR(H43/G43,"")</x:f>
      </x:c>
      <x:c r="J43" s="221" t="str">
        <x:v>Planned</x:v>
      </x:c>
      <x:c r="K43" s="221"/>
      <x:c r="L43" s="225"/>
    </x:row>
    <x:row r="44" ht="24" customHeight="1">
      <x:c r="A44" s="208"/>
      <x:c r="B44" s="195"/>
      <x:c r="C44" s="195"/>
      <x:c r="D44" s="195"/>
      <x:c r="E44" s="195"/>
      <x:c r="F44" s="195"/>
      <x:c r="G44" s="195"/>
      <x:c r="H44" s="195"/>
      <x:c r="I44" s="217" t="str">
        <x:f>IFERROR(H44/G44,"")</x:f>
      </x:c>
      <x:c r="J44" s="221" t="str">
        <x:v>Planned</x:v>
      </x:c>
      <x:c r="K44" s="221"/>
      <x:c r="L44" s="225"/>
    </x:row>
    <x:row r="45" ht="24" customHeight="1">
      <x:c r="A45" s="208"/>
      <x:c r="B45" s="195"/>
      <x:c r="C45" s="195"/>
      <x:c r="D45" s="195"/>
      <x:c r="E45" s="195"/>
      <x:c r="F45" s="195"/>
      <x:c r="G45" s="195"/>
      <x:c r="H45" s="195"/>
      <x:c r="I45" s="217" t="str">
        <x:f>IFERROR(H45/G45,"")</x:f>
      </x:c>
      <x:c r="J45" s="221" t="str">
        <x:v>Planned</x:v>
      </x:c>
      <x:c r="K45" s="221"/>
      <x:c r="L45" s="225"/>
    </x:row>
    <x:row r="46" ht="24" customHeight="1">
      <x:c r="A46" s="208"/>
      <x:c r="B46" s="195"/>
      <x:c r="C46" s="195"/>
      <x:c r="D46" s="195"/>
      <x:c r="E46" s="195"/>
      <x:c r="F46" s="195"/>
      <x:c r="G46" s="195"/>
      <x:c r="H46" s="195"/>
      <x:c r="I46" s="217" t="str">
        <x:f>IFERROR(H46/G46,"")</x:f>
      </x:c>
      <x:c r="J46" s="221" t="str">
        <x:v>Planned</x:v>
      </x:c>
      <x:c r="K46" s="221"/>
      <x:c r="L46" s="225"/>
    </x:row>
    <x:row r="47" ht="24" customHeight="1">
      <x:c r="A47" s="208"/>
      <x:c r="B47" s="195"/>
      <x:c r="C47" s="195"/>
      <x:c r="D47" s="195"/>
      <x:c r="E47" s="195"/>
      <x:c r="F47" s="195"/>
      <x:c r="G47" s="195"/>
      <x:c r="H47" s="195"/>
      <x:c r="I47" s="217" t="str">
        <x:f>IFERROR(H47/G47,"")</x:f>
      </x:c>
      <x:c r="J47" s="221" t="str">
        <x:v>Planned</x:v>
      </x:c>
      <x:c r="K47" s="221"/>
      <x:c r="L47" s="225"/>
    </x:row>
    <x:row r="48" ht="24" customHeight="1">
      <x:c r="A48" s="208"/>
      <x:c r="B48" s="195"/>
      <x:c r="C48" s="195"/>
      <x:c r="D48" s="195"/>
      <x:c r="E48" s="195"/>
      <x:c r="F48" s="195"/>
      <x:c r="G48" s="195"/>
      <x:c r="H48" s="195"/>
      <x:c r="I48" s="217" t="str">
        <x:f>IFERROR(H48/G48,"")</x:f>
      </x:c>
      <x:c r="J48" s="221" t="str">
        <x:v>Planned</x:v>
      </x:c>
      <x:c r="K48" s="221"/>
      <x:c r="L48" s="225"/>
    </x:row>
    <x:row r="49" ht="24" customHeight="1">
      <x:c r="A49" s="208"/>
      <x:c r="B49" s="195"/>
      <x:c r="C49" s="195"/>
      <x:c r="D49" s="195"/>
      <x:c r="E49" s="195"/>
      <x:c r="F49" s="195"/>
      <x:c r="G49" s="195"/>
      <x:c r="H49" s="195"/>
      <x:c r="I49" s="217" t="str">
        <x:f>IFERROR(H49/G49,"")</x:f>
      </x:c>
      <x:c r="J49" s="221" t="str">
        <x:v>Planned</x:v>
      </x:c>
      <x:c r="K49" s="221"/>
      <x:c r="L49" s="225"/>
    </x:row>
    <x:row r="50" ht="24" customHeight="1">
      <x:c r="A50" s="208"/>
      <x:c r="B50" s="195"/>
      <x:c r="C50" s="195"/>
      <x:c r="D50" s="195"/>
      <x:c r="E50" s="195"/>
      <x:c r="F50" s="195"/>
      <x:c r="G50" s="195"/>
      <x:c r="H50" s="195"/>
      <x:c r="I50" s="217" t="str">
        <x:f>IFERROR(H50/G50,"")</x:f>
      </x:c>
      <x:c r="J50" s="221" t="str">
        <x:v>Planned</x:v>
      </x:c>
      <x:c r="K50" s="221"/>
      <x:c r="L50" s="225"/>
    </x:row>
    <x:row r="51" ht="24" customHeight="1">
      <x:c r="A51" s="208"/>
      <x:c r="B51" s="195"/>
      <x:c r="C51" s="195"/>
      <x:c r="D51" s="195"/>
      <x:c r="E51" s="195"/>
      <x:c r="F51" s="195"/>
      <x:c r="G51" s="195"/>
      <x:c r="H51" s="195"/>
      <x:c r="I51" s="217" t="str">
        <x:f>IFERROR(H51/G51,"")</x:f>
      </x:c>
      <x:c r="J51" s="221" t="str">
        <x:v>Planned</x:v>
      </x:c>
      <x:c r="K51" s="221"/>
      <x:c r="L51" s="225"/>
    </x:row>
    <x:row r="52" ht="24" customHeight="1">
      <x:c r="A52" s="208"/>
      <x:c r="B52" s="195"/>
      <x:c r="C52" s="195"/>
      <x:c r="D52" s="195"/>
      <x:c r="E52" s="195"/>
      <x:c r="F52" s="195"/>
      <x:c r="G52" s="195"/>
      <x:c r="H52" s="195"/>
      <x:c r="I52" s="217" t="str">
        <x:f>IFERROR(H52/G52,"")</x:f>
      </x:c>
      <x:c r="J52" s="221" t="str">
        <x:v>Planned</x:v>
      </x:c>
      <x:c r="K52" s="221"/>
      <x:c r="L52" s="225"/>
    </x:row>
    <x:row r="53" ht="24" customHeight="1">
      <x:c r="A53" s="208"/>
      <x:c r="B53" s="195"/>
      <x:c r="C53" s="195"/>
      <x:c r="D53" s="195"/>
      <x:c r="E53" s="195"/>
      <x:c r="F53" s="195"/>
      <x:c r="G53" s="195"/>
      <x:c r="H53" s="195"/>
      <x:c r="I53" s="217" t="str">
        <x:f>IFERROR(H53/G53,"")</x:f>
      </x:c>
      <x:c r="J53" s="221" t="str">
        <x:v>Planned</x:v>
      </x:c>
      <x:c r="K53" s="221"/>
      <x:c r="L53" s="225"/>
    </x:row>
    <x:row r="54" ht="24" customHeight="1">
      <x:c r="A54" s="208"/>
      <x:c r="B54" s="195"/>
      <x:c r="C54" s="195"/>
      <x:c r="D54" s="195"/>
      <x:c r="E54" s="195"/>
      <x:c r="F54" s="195"/>
      <x:c r="G54" s="195"/>
      <x:c r="H54" s="195"/>
      <x:c r="I54" s="217" t="str">
        <x:f>IFERROR(H54/G54,"")</x:f>
      </x:c>
      <x:c r="J54" s="221" t="str">
        <x:v>Planned</x:v>
      </x:c>
      <x:c r="K54" s="221"/>
      <x:c r="L54" s="225"/>
    </x:row>
    <x:row r="55" ht="24" customHeight="1">
      <x:c r="A55" s="208"/>
      <x:c r="B55" s="195"/>
      <x:c r="C55" s="195"/>
      <x:c r="D55" s="195"/>
      <x:c r="E55" s="195"/>
      <x:c r="F55" s="195"/>
      <x:c r="G55" s="195"/>
      <x:c r="H55" s="195"/>
      <x:c r="I55" s="217" t="str">
        <x:f>IFERROR(H55/G55,"")</x:f>
      </x:c>
      <x:c r="J55" s="221" t="str">
        <x:v>Planned</x:v>
      </x:c>
      <x:c r="K55" s="221"/>
      <x:c r="L55" s="225"/>
    </x:row>
    <x:row r="56" ht="24" customHeight="1">
      <x:c r="A56" s="208"/>
      <x:c r="B56" s="195"/>
      <x:c r="C56" s="195"/>
      <x:c r="D56" s="195"/>
      <x:c r="E56" s="195"/>
      <x:c r="F56" s="195"/>
      <x:c r="G56" s="195"/>
      <x:c r="H56" s="195"/>
      <x:c r="I56" s="217" t="str">
        <x:f>IFERROR(H56/G56,"")</x:f>
      </x:c>
      <x:c r="J56" s="221" t="str">
        <x:v>Planned</x:v>
      </x:c>
      <x:c r="K56" s="221"/>
      <x:c r="L56" s="225"/>
    </x:row>
    <x:row r="57" ht="24" customHeight="1">
      <x:c r="A57" s="208"/>
      <x:c r="B57" s="195"/>
      <x:c r="C57" s="195"/>
      <x:c r="D57" s="195"/>
      <x:c r="E57" s="195"/>
      <x:c r="F57" s="195"/>
      <x:c r="G57" s="195"/>
      <x:c r="H57" s="195"/>
      <x:c r="I57" s="217" t="str">
        <x:f>IFERROR(H57/G57,"")</x:f>
      </x:c>
      <x:c r="J57" s="221" t="str">
        <x:v>Planned</x:v>
      </x:c>
      <x:c r="K57" s="221"/>
      <x:c r="L57" s="225"/>
    </x:row>
    <x:row r="58" ht="24" customHeight="1">
      <x:c r="A58" s="208"/>
      <x:c r="B58" s="195"/>
      <x:c r="C58" s="195"/>
      <x:c r="D58" s="195"/>
      <x:c r="E58" s="195"/>
      <x:c r="F58" s="195"/>
      <x:c r="G58" s="195"/>
      <x:c r="H58" s="195"/>
      <x:c r="I58" s="217" t="str">
        <x:f>IFERROR(H58/G58,"")</x:f>
      </x:c>
      <x:c r="J58" s="221" t="str">
        <x:v>Planned</x:v>
      </x:c>
      <x:c r="K58" s="221"/>
      <x:c r="L58" s="225"/>
    </x:row>
    <x:row r="59" ht="24" customHeight="1">
      <x:c r="A59" s="208"/>
      <x:c r="B59" s="195"/>
      <x:c r="C59" s="195"/>
      <x:c r="D59" s="195"/>
      <x:c r="E59" s="195"/>
      <x:c r="F59" s="195"/>
      <x:c r="G59" s="195"/>
      <x:c r="H59" s="195"/>
      <x:c r="I59" s="217" t="str">
        <x:f>IFERROR(H59/G59,"")</x:f>
      </x:c>
      <x:c r="J59" s="221" t="str">
        <x:v>Planned</x:v>
      </x:c>
      <x:c r="K59" s="221"/>
      <x:c r="L59" s="225"/>
    </x:row>
    <x:row r="60" ht="24" customHeight="1">
      <x:c r="A60" s="208"/>
      <x:c r="B60" s="195"/>
      <x:c r="C60" s="195"/>
      <x:c r="D60" s="195"/>
      <x:c r="E60" s="195"/>
      <x:c r="F60" s="195"/>
      <x:c r="G60" s="195"/>
      <x:c r="H60" s="195"/>
      <x:c r="I60" s="217" t="str">
        <x:f>IFERROR(H60/G60,"")</x:f>
      </x:c>
      <x:c r="J60" s="221" t="str">
        <x:v>Planned</x:v>
      </x:c>
      <x:c r="K60" s="221"/>
      <x:c r="L60" s="225"/>
    </x:row>
    <x:row r="61" ht="24" customHeight="1">
      <x:c r="A61" s="208"/>
      <x:c r="B61" s="195"/>
      <x:c r="C61" s="195"/>
      <x:c r="D61" s="195"/>
      <x:c r="E61" s="195"/>
      <x:c r="F61" s="195"/>
      <x:c r="G61" s="195"/>
      <x:c r="H61" s="195"/>
      <x:c r="I61" s="217" t="str">
        <x:f>IFERROR(H61/G61,"")</x:f>
      </x:c>
      <x:c r="J61" s="221" t="str">
        <x:v>Planned</x:v>
      </x:c>
      <x:c r="K61" s="221"/>
      <x:c r="L61" s="225"/>
    </x:row>
    <x:row r="62" ht="24" customHeight="1">
      <x:c r="A62" s="208"/>
      <x:c r="B62" s="195"/>
      <x:c r="C62" s="195"/>
      <x:c r="D62" s="195"/>
      <x:c r="E62" s="195"/>
      <x:c r="F62" s="195"/>
      <x:c r="G62" s="195"/>
      <x:c r="H62" s="195"/>
      <x:c r="I62" s="217" t="str">
        <x:f>IFERROR(H62/G62,"")</x:f>
      </x:c>
      <x:c r="J62" s="221" t="str">
        <x:v>Planned</x:v>
      </x:c>
      <x:c r="K62" s="221"/>
      <x:c r="L62" s="225"/>
    </x:row>
    <x:row r="63" ht="24" customHeight="1">
      <x:c r="A63" s="208"/>
      <x:c r="B63" s="195"/>
      <x:c r="C63" s="195"/>
      <x:c r="D63" s="195"/>
      <x:c r="E63" s="195"/>
      <x:c r="F63" s="195"/>
      <x:c r="G63" s="195"/>
      <x:c r="H63" s="195"/>
      <x:c r="I63" s="217" t="str">
        <x:f>IFERROR(H63/G63,"")</x:f>
      </x:c>
      <x:c r="J63" s="221" t="str">
        <x:v>Planned</x:v>
      </x:c>
      <x:c r="K63" s="221"/>
      <x:c r="L63" s="225"/>
    </x:row>
    <x:row r="64" ht="24" customHeight="1">
      <x:c r="A64" s="208"/>
      <x:c r="B64" s="195"/>
      <x:c r="C64" s="195"/>
      <x:c r="D64" s="195"/>
      <x:c r="E64" s="195"/>
      <x:c r="F64" s="195"/>
      <x:c r="G64" s="195"/>
      <x:c r="H64" s="195"/>
      <x:c r="I64" s="217" t="str">
        <x:f>IFERROR(H64/G64,"")</x:f>
      </x:c>
      <x:c r="J64" s="221" t="str">
        <x:v>Planned</x:v>
      </x:c>
      <x:c r="K64" s="221"/>
      <x:c r="L64" s="225"/>
    </x:row>
    <x:row r="65" ht="24" customHeight="1">
      <x:c r="A65" s="208"/>
      <x:c r="B65" s="195"/>
      <x:c r="C65" s="195"/>
      <x:c r="D65" s="195"/>
      <x:c r="E65" s="195"/>
      <x:c r="F65" s="195"/>
      <x:c r="G65" s="195"/>
      <x:c r="H65" s="195"/>
      <x:c r="I65" s="217" t="str">
        <x:f>IFERROR(H65/G65,"")</x:f>
      </x:c>
      <x:c r="J65" s="221" t="str">
        <x:v>Planned</x:v>
      </x:c>
      <x:c r="K65" s="221"/>
      <x:c r="L65" s="225"/>
    </x:row>
    <x:row r="66" ht="24" customHeight="1">
      <x:c r="A66" s="208"/>
      <x:c r="B66" s="195"/>
      <x:c r="C66" s="195"/>
      <x:c r="D66" s="195"/>
      <x:c r="E66" s="195"/>
      <x:c r="F66" s="195"/>
      <x:c r="G66" s="195"/>
      <x:c r="H66" s="195"/>
      <x:c r="I66" s="217" t="str">
        <x:f>IFERROR(H66/G66,"")</x:f>
      </x:c>
      <x:c r="J66" s="221" t="str">
        <x:v>Planned</x:v>
      </x:c>
      <x:c r="K66" s="221"/>
      <x:c r="L66" s="225"/>
    </x:row>
    <x:row r="67" ht="24" customHeight="1">
      <x:c r="A67" s="208"/>
      <x:c r="B67" s="195"/>
      <x:c r="C67" s="195"/>
      <x:c r="D67" s="195"/>
      <x:c r="E67" s="195"/>
      <x:c r="F67" s="195"/>
      <x:c r="G67" s="195"/>
      <x:c r="H67" s="195"/>
      <x:c r="I67" s="217" t="str">
        <x:f>IFERROR(H67/G67,"")</x:f>
      </x:c>
      <x:c r="J67" s="221" t="str">
        <x:v>Planned</x:v>
      </x:c>
      <x:c r="K67" s="221"/>
      <x:c r="L67" s="225"/>
    </x:row>
    <x:row r="68" ht="24" customHeight="1">
      <x:c r="A68" s="208"/>
      <x:c r="B68" s="195"/>
      <x:c r="C68" s="195"/>
      <x:c r="D68" s="195"/>
      <x:c r="E68" s="195"/>
      <x:c r="F68" s="195"/>
      <x:c r="G68" s="195"/>
      <x:c r="H68" s="195"/>
      <x:c r="I68" s="217" t="str">
        <x:f>IFERROR(H68/G68,"")</x:f>
      </x:c>
      <x:c r="J68" s="221" t="str">
        <x:v>Planned</x:v>
      </x:c>
      <x:c r="K68" s="221"/>
      <x:c r="L68" s="225"/>
    </x:row>
    <x:row r="69" ht="24" customHeight="1">
      <x:c r="A69" s="208"/>
      <x:c r="B69" s="195"/>
      <x:c r="C69" s="195"/>
      <x:c r="D69" s="195"/>
      <x:c r="E69" s="195"/>
      <x:c r="F69" s="195"/>
      <x:c r="G69" s="195"/>
      <x:c r="H69" s="195"/>
      <x:c r="I69" s="217" t="str">
        <x:f>IFERROR(H69/G69,"")</x:f>
      </x:c>
      <x:c r="J69" s="221" t="str">
        <x:v>Planned</x:v>
      </x:c>
      <x:c r="K69" s="221"/>
      <x:c r="L69" s="225"/>
    </x:row>
    <x:row r="70" ht="24" customHeight="1">
      <x:c r="A70" s="208"/>
      <x:c r="B70" s="195"/>
      <x:c r="C70" s="195"/>
      <x:c r="D70" s="195"/>
      <x:c r="E70" s="195"/>
      <x:c r="F70" s="195"/>
      <x:c r="G70" s="195"/>
      <x:c r="H70" s="195"/>
      <x:c r="I70" s="217" t="str">
        <x:f>IFERROR(H70/G70,"")</x:f>
      </x:c>
      <x:c r="J70" s="221" t="str">
        <x:v>Planned</x:v>
      </x:c>
      <x:c r="K70" s="221"/>
      <x:c r="L70" s="225"/>
    </x:row>
    <x:row r="71" ht="24" customHeight="1">
      <x:c r="A71" s="208"/>
      <x:c r="B71" s="195"/>
      <x:c r="C71" s="195"/>
      <x:c r="D71" s="195"/>
      <x:c r="E71" s="195"/>
      <x:c r="F71" s="195"/>
      <x:c r="G71" s="195"/>
      <x:c r="H71" s="195"/>
      <x:c r="I71" s="217" t="str">
        <x:f>IFERROR(H71/G71,"")</x:f>
      </x:c>
      <x:c r="J71" s="221" t="str">
        <x:v>Planned</x:v>
      </x:c>
      <x:c r="K71" s="221"/>
      <x:c r="L71" s="225"/>
    </x:row>
    <x:row r="72" ht="24" customHeight="1">
      <x:c r="A72" s="208"/>
      <x:c r="B72" s="195"/>
      <x:c r="C72" s="195"/>
      <x:c r="D72" s="195"/>
      <x:c r="E72" s="195"/>
      <x:c r="F72" s="195"/>
      <x:c r="G72" s="195"/>
      <x:c r="H72" s="195"/>
      <x:c r="I72" s="217" t="str">
        <x:f>IFERROR(H72/G72,"")</x:f>
      </x:c>
      <x:c r="J72" s="221" t="str">
        <x:v>Planned</x:v>
      </x:c>
      <x:c r="K72" s="221"/>
      <x:c r="L72" s="225"/>
    </x:row>
    <x:row r="73" ht="24" customHeight="1">
      <x:c r="A73" s="208"/>
      <x:c r="B73" s="195"/>
      <x:c r="C73" s="195"/>
      <x:c r="D73" s="195"/>
      <x:c r="E73" s="195"/>
      <x:c r="F73" s="195"/>
      <x:c r="G73" s="195"/>
      <x:c r="H73" s="195"/>
      <x:c r="I73" s="217" t="str">
        <x:f>IFERROR(H73/G73,"")</x:f>
      </x:c>
      <x:c r="J73" s="221" t="str">
        <x:v>Planned</x:v>
      </x:c>
      <x:c r="K73" s="221"/>
      <x:c r="L73" s="225"/>
    </x:row>
    <x:row r="74" ht="24" customHeight="1">
      <x:c r="A74" s="208"/>
      <x:c r="B74" s="195"/>
      <x:c r="C74" s="195"/>
      <x:c r="D74" s="195"/>
      <x:c r="E74" s="195"/>
      <x:c r="F74" s="195"/>
      <x:c r="G74" s="195"/>
      <x:c r="H74" s="195"/>
      <x:c r="I74" s="217" t="str">
        <x:f>IFERROR(H74/G74,"")</x:f>
      </x:c>
      <x:c r="J74" s="221" t="str">
        <x:v>Planned</x:v>
      </x:c>
      <x:c r="K74" s="221"/>
      <x:c r="L74" s="225"/>
    </x:row>
    <x:row r="75" ht="24" customHeight="1">
      <x:c r="A75" s="208"/>
      <x:c r="B75" s="195"/>
      <x:c r="C75" s="195"/>
      <x:c r="D75" s="195"/>
      <x:c r="E75" s="195"/>
      <x:c r="F75" s="195"/>
      <x:c r="G75" s="195"/>
      <x:c r="H75" s="195"/>
      <x:c r="I75" s="217" t="str">
        <x:f>IFERROR(H75/G75,"")</x:f>
      </x:c>
      <x:c r="J75" s="221" t="str">
        <x:v>Planned</x:v>
      </x:c>
      <x:c r="K75" s="221"/>
      <x:c r="L75" s="225"/>
    </x:row>
    <x:row r="76" ht="24" customHeight="1">
      <x:c r="A76" s="208"/>
      <x:c r="B76" s="195"/>
      <x:c r="C76" s="195"/>
      <x:c r="D76" s="195"/>
      <x:c r="E76" s="195"/>
      <x:c r="F76" s="195"/>
      <x:c r="G76" s="195"/>
      <x:c r="H76" s="195"/>
      <x:c r="I76" s="217" t="str">
        <x:f>IFERROR(H76/G76,"")</x:f>
      </x:c>
      <x:c r="J76" s="221" t="str">
        <x:v>Planned</x:v>
      </x:c>
      <x:c r="K76" s="221"/>
      <x:c r="L76" s="225"/>
    </x:row>
    <x:row r="77" ht="24" customHeight="1">
      <x:c r="A77" s="208"/>
      <x:c r="B77" s="195"/>
      <x:c r="C77" s="195"/>
      <x:c r="D77" s="195"/>
      <x:c r="E77" s="195"/>
      <x:c r="F77" s="195"/>
      <x:c r="G77" s="195"/>
      <x:c r="H77" s="195"/>
      <x:c r="I77" s="217" t="str">
        <x:f>IFERROR(H77/G77,"")</x:f>
      </x:c>
      <x:c r="J77" s="221" t="str">
        <x:v>Planned</x:v>
      </x:c>
      <x:c r="K77" s="221"/>
      <x:c r="L77" s="225"/>
    </x:row>
    <x:row r="78" ht="24" customHeight="1">
      <x:c r="A78" s="208"/>
      <x:c r="B78" s="195"/>
      <x:c r="C78" s="195"/>
      <x:c r="D78" s="195"/>
      <x:c r="E78" s="195"/>
      <x:c r="F78" s="195"/>
      <x:c r="G78" s="195"/>
      <x:c r="H78" s="195"/>
      <x:c r="I78" s="217" t="str">
        <x:f>IFERROR(H78/G78,"")</x:f>
      </x:c>
      <x:c r="J78" s="221" t="str">
        <x:v>Planned</x:v>
      </x:c>
      <x:c r="K78" s="221"/>
      <x:c r="L78" s="225"/>
    </x:row>
    <x:row r="79" ht="24" customHeight="1">
      <x:c r="A79" s="208"/>
      <x:c r="B79" s="195"/>
      <x:c r="C79" s="195"/>
      <x:c r="D79" s="195"/>
      <x:c r="E79" s="195"/>
      <x:c r="F79" s="195"/>
      <x:c r="G79" s="195"/>
      <x:c r="H79" s="195"/>
      <x:c r="I79" s="217" t="str">
        <x:f>IFERROR(H79/G79,"")</x:f>
      </x:c>
      <x:c r="J79" s="221" t="str">
        <x:v>Planned</x:v>
      </x:c>
      <x:c r="K79" s="221"/>
      <x:c r="L79" s="225"/>
    </x:row>
    <x:row r="80" ht="24" customHeight="1">
      <x:c r="A80" s="208"/>
      <x:c r="B80" s="195"/>
      <x:c r="C80" s="195"/>
      <x:c r="D80" s="195"/>
      <x:c r="E80" s="195"/>
      <x:c r="F80" s="195"/>
      <x:c r="G80" s="195"/>
      <x:c r="H80" s="195"/>
      <x:c r="I80" s="217" t="str">
        <x:f>IFERROR(H80/G80,"")</x:f>
      </x:c>
      <x:c r="J80" s="221" t="str">
        <x:v>Planned</x:v>
      </x:c>
      <x:c r="K80" s="221"/>
      <x:c r="L80" s="225"/>
    </x:row>
    <x:row r="81" ht="24" customHeight="1">
      <x:c r="A81" s="208"/>
      <x:c r="B81" s="195"/>
      <x:c r="C81" s="195"/>
      <x:c r="D81" s="195"/>
      <x:c r="E81" s="195"/>
      <x:c r="F81" s="195"/>
      <x:c r="G81" s="195"/>
      <x:c r="H81" s="195"/>
      <x:c r="I81" s="217" t="str">
        <x:f>IFERROR(H81/G81,"")</x:f>
      </x:c>
      <x:c r="J81" s="221" t="str">
        <x:v>Planned</x:v>
      </x:c>
      <x:c r="K81" s="221"/>
      <x:c r="L81" s="225"/>
    </x:row>
    <x:row r="82" ht="24" customHeight="1">
      <x:c r="A82" s="208"/>
      <x:c r="B82" s="195"/>
      <x:c r="C82" s="195"/>
      <x:c r="D82" s="195"/>
      <x:c r="E82" s="195"/>
      <x:c r="F82" s="195"/>
      <x:c r="G82" s="195"/>
      <x:c r="H82" s="195"/>
      <x:c r="I82" s="217" t="str">
        <x:f>IFERROR(H82/G82,"")</x:f>
      </x:c>
      <x:c r="J82" s="221" t="str">
        <x:v>Planned</x:v>
      </x:c>
      <x:c r="K82" s="221"/>
      <x:c r="L82" s="225"/>
    </x:row>
    <x:row r="83" ht="24" customHeight="1">
      <x:c r="A83" s="208"/>
      <x:c r="B83" s="195"/>
      <x:c r="C83" s="195"/>
      <x:c r="D83" s="195"/>
      <x:c r="E83" s="195"/>
      <x:c r="F83" s="195"/>
      <x:c r="G83" s="195"/>
      <x:c r="H83" s="195"/>
      <x:c r="I83" s="217" t="str">
        <x:f>IFERROR(H83/G83,"")</x:f>
      </x:c>
      <x:c r="J83" s="221" t="str">
        <x:v>Planned</x:v>
      </x:c>
      <x:c r="K83" s="221"/>
      <x:c r="L83" s="225"/>
    </x:row>
    <x:row r="84" ht="24" customHeight="1">
      <x:c r="A84" s="208"/>
      <x:c r="B84" s="195"/>
      <x:c r="C84" s="195"/>
      <x:c r="D84" s="195"/>
      <x:c r="E84" s="195"/>
      <x:c r="F84" s="195"/>
      <x:c r="G84" s="195"/>
      <x:c r="H84" s="195"/>
      <x:c r="I84" s="217" t="str">
        <x:f>IFERROR(H84/G84,"")</x:f>
      </x:c>
      <x:c r="J84" s="221" t="str">
        <x:v>Planned</x:v>
      </x:c>
      <x:c r="K84" s="221"/>
      <x:c r="L84" s="225"/>
    </x:row>
    <x:row r="85" ht="24" customHeight="1">
      <x:c r="A85" s="208"/>
      <x:c r="B85" s="195"/>
      <x:c r="C85" s="195"/>
      <x:c r="D85" s="195"/>
      <x:c r="E85" s="195"/>
      <x:c r="F85" s="195"/>
      <x:c r="G85" s="195"/>
      <x:c r="H85" s="195"/>
      <x:c r="I85" s="217" t="str">
        <x:f>IFERROR(H85/G85,"")</x:f>
      </x:c>
      <x:c r="J85" s="221" t="str">
        <x:v>Planned</x:v>
      </x:c>
      <x:c r="K85" s="221"/>
      <x:c r="L85" s="225"/>
    </x:row>
    <x:row r="86" ht="24" customHeight="1">
      <x:c r="A86" s="208"/>
      <x:c r="B86" s="195"/>
      <x:c r="C86" s="195"/>
      <x:c r="D86" s="195"/>
      <x:c r="E86" s="195"/>
      <x:c r="F86" s="195"/>
      <x:c r="G86" s="195"/>
      <x:c r="H86" s="195"/>
      <x:c r="I86" s="217" t="str">
        <x:f>IFERROR(H86/G86,"")</x:f>
      </x:c>
      <x:c r="J86" s="221" t="str">
        <x:v>Planned</x:v>
      </x:c>
      <x:c r="K86" s="221"/>
      <x:c r="L86" s="225"/>
    </x:row>
    <x:row r="87" ht="24" customHeight="1">
      <x:c r="A87" s="208"/>
      <x:c r="B87" s="195"/>
      <x:c r="C87" s="195"/>
      <x:c r="D87" s="195"/>
      <x:c r="E87" s="195"/>
      <x:c r="F87" s="195"/>
      <x:c r="G87" s="195"/>
      <x:c r="H87" s="195"/>
      <x:c r="I87" s="217" t="str">
        <x:f>IFERROR(H87/G87,"")</x:f>
      </x:c>
      <x:c r="J87" s="221" t="str">
        <x:v>Planned</x:v>
      </x:c>
      <x:c r="K87" s="221"/>
      <x:c r="L87" s="225"/>
    </x:row>
    <x:row r="88" ht="24" customHeight="1">
      <x:c r="A88" s="208"/>
      <x:c r="B88" s="195"/>
      <x:c r="C88" s="195"/>
      <x:c r="D88" s="195"/>
      <x:c r="E88" s="195"/>
      <x:c r="F88" s="195"/>
      <x:c r="G88" s="195"/>
      <x:c r="H88" s="195"/>
      <x:c r="I88" s="217" t="str">
        <x:f>IFERROR(H88/G88,"")</x:f>
      </x:c>
      <x:c r="J88" s="221" t="str">
        <x:v>Planned</x:v>
      </x:c>
      <x:c r="K88" s="221"/>
      <x:c r="L88" s="225"/>
    </x:row>
    <x:row r="89" ht="24" customHeight="1">
      <x:c r="A89" s="208"/>
      <x:c r="B89" s="195"/>
      <x:c r="C89" s="195"/>
      <x:c r="D89" s="195"/>
      <x:c r="E89" s="195"/>
      <x:c r="F89" s="195"/>
      <x:c r="G89" s="195"/>
      <x:c r="H89" s="195"/>
      <x:c r="I89" s="217" t="str">
        <x:f>IFERROR(H89/G89,"")</x:f>
      </x:c>
      <x:c r="J89" s="221" t="str">
        <x:v>Planned</x:v>
      </x:c>
      <x:c r="K89" s="221"/>
      <x:c r="L89" s="225"/>
    </x:row>
    <x:row r="90" ht="24" customHeight="1">
      <x:c r="A90" s="208"/>
      <x:c r="B90" s="195"/>
      <x:c r="C90" s="195"/>
      <x:c r="D90" s="195"/>
      <x:c r="E90" s="195"/>
      <x:c r="F90" s="195"/>
      <x:c r="G90" s="195"/>
      <x:c r="H90" s="195"/>
      <x:c r="I90" s="217" t="str">
        <x:f>IFERROR(H90/G90,"")</x:f>
      </x:c>
      <x:c r="J90" s="221" t="str">
        <x:v>Planned</x:v>
      </x:c>
      <x:c r="K90" s="221"/>
      <x:c r="L90" s="225"/>
    </x:row>
    <x:row r="91" ht="24" customHeight="1">
      <x:c r="A91" s="208"/>
      <x:c r="B91" s="195"/>
      <x:c r="C91" s="195"/>
      <x:c r="D91" s="195"/>
      <x:c r="E91" s="195"/>
      <x:c r="F91" s="195"/>
      <x:c r="G91" s="195"/>
      <x:c r="H91" s="195"/>
      <x:c r="I91" s="217" t="str">
        <x:f>IFERROR(H91/G91,"")</x:f>
      </x:c>
      <x:c r="J91" s="221" t="str">
        <x:v>Planned</x:v>
      </x:c>
      <x:c r="K91" s="221"/>
      <x:c r="L91" s="225"/>
    </x:row>
    <x:row r="92" ht="24" customHeight="1">
      <x:c r="A92" s="208"/>
      <x:c r="B92" s="195"/>
      <x:c r="C92" s="195"/>
      <x:c r="D92" s="195"/>
      <x:c r="E92" s="195"/>
      <x:c r="F92" s="195"/>
      <x:c r="G92" s="195"/>
      <x:c r="H92" s="195"/>
      <x:c r="I92" s="217" t="str">
        <x:f>IFERROR(H92/G92,"")</x:f>
      </x:c>
      <x:c r="J92" s="221" t="str">
        <x:v>Planned</x:v>
      </x:c>
      <x:c r="K92" s="221"/>
      <x:c r="L92" s="225"/>
    </x:row>
    <x:row r="93" ht="24" customHeight="1">
      <x:c r="A93" s="208"/>
      <x:c r="B93" s="195"/>
      <x:c r="C93" s="195"/>
      <x:c r="D93" s="195"/>
      <x:c r="E93" s="195"/>
      <x:c r="F93" s="195"/>
      <x:c r="G93" s="195"/>
      <x:c r="H93" s="195"/>
      <x:c r="I93" s="217" t="str">
        <x:f>IFERROR(H93/G93,"")</x:f>
      </x:c>
      <x:c r="J93" s="221" t="str">
        <x:v>Planned</x:v>
      </x:c>
      <x:c r="K93" s="221"/>
      <x:c r="L93" s="225"/>
    </x:row>
    <x:row r="94" ht="24" customHeight="1">
      <x:c r="A94" s="208"/>
      <x:c r="B94" s="195"/>
      <x:c r="C94" s="195"/>
      <x:c r="D94" s="195"/>
      <x:c r="E94" s="195"/>
      <x:c r="F94" s="195"/>
      <x:c r="G94" s="195"/>
      <x:c r="H94" s="195"/>
      <x:c r="I94" s="217" t="str">
        <x:f>IFERROR(H94/G94,"")</x:f>
      </x:c>
      <x:c r="J94" s="221" t="str">
        <x:v>Planned</x:v>
      </x:c>
      <x:c r="K94" s="221"/>
      <x:c r="L94" s="225"/>
    </x:row>
    <x:row r="95" ht="24" customHeight="1">
      <x:c r="A95" s="208"/>
      <x:c r="B95" s="195"/>
      <x:c r="C95" s="195"/>
      <x:c r="D95" s="195"/>
      <x:c r="E95" s="195"/>
      <x:c r="F95" s="195"/>
      <x:c r="G95" s="195"/>
      <x:c r="H95" s="195"/>
      <x:c r="I95" s="217" t="str">
        <x:f>IFERROR(H95/G95,"")</x:f>
      </x:c>
      <x:c r="J95" s="221" t="str">
        <x:v>Planned</x:v>
      </x:c>
      <x:c r="K95" s="221"/>
      <x:c r="L95" s="225"/>
    </x:row>
    <x:row r="96" ht="24" customHeight="1">
      <x:c r="A96" s="208"/>
      <x:c r="B96" s="195"/>
      <x:c r="C96" s="195"/>
      <x:c r="D96" s="195"/>
      <x:c r="E96" s="195"/>
      <x:c r="F96" s="195"/>
      <x:c r="G96" s="195"/>
      <x:c r="H96" s="195"/>
      <x:c r="I96" s="217" t="str">
        <x:f>IFERROR(H96/G96,"")</x:f>
      </x:c>
      <x:c r="J96" s="221" t="str">
        <x:v>Planned</x:v>
      </x:c>
      <x:c r="K96" s="221"/>
      <x:c r="L96" s="225"/>
    </x:row>
    <x:row r="97" ht="24" customHeight="1">
      <x:c r="A97" s="208"/>
      <x:c r="B97" s="195"/>
      <x:c r="C97" s="195"/>
      <x:c r="D97" s="195"/>
      <x:c r="E97" s="195"/>
      <x:c r="F97" s="195"/>
      <x:c r="G97" s="195"/>
      <x:c r="H97" s="195"/>
      <x:c r="I97" s="217" t="str">
        <x:f>IFERROR(H97/G97,"")</x:f>
      </x:c>
      <x:c r="J97" s="221" t="str">
        <x:v>Planned</x:v>
      </x:c>
      <x:c r="K97" s="221"/>
      <x:c r="L97" s="225"/>
    </x:row>
    <x:row r="98" ht="24" customHeight="1">
      <x:c r="A98" s="208"/>
      <x:c r="B98" s="195"/>
      <x:c r="C98" s="195"/>
      <x:c r="D98" s="195"/>
      <x:c r="E98" s="195"/>
      <x:c r="F98" s="195"/>
      <x:c r="G98" s="195"/>
      <x:c r="H98" s="195"/>
      <x:c r="I98" s="217" t="str">
        <x:f>IFERROR(H98/G98,"")</x:f>
      </x:c>
      <x:c r="J98" s="221" t="str">
        <x:v>Planned</x:v>
      </x:c>
      <x:c r="K98" s="221"/>
      <x:c r="L98" s="225"/>
    </x:row>
    <x:row r="99" ht="24" customHeight="1">
      <x:c r="A99" s="208"/>
      <x:c r="B99" s="195"/>
      <x:c r="C99" s="195"/>
      <x:c r="D99" s="195"/>
      <x:c r="E99" s="195"/>
      <x:c r="F99" s="195"/>
      <x:c r="G99" s="195"/>
      <x:c r="H99" s="195"/>
      <x:c r="I99" s="217" t="str">
        <x:f>IFERROR(H99/G99,"")</x:f>
      </x:c>
      <x:c r="J99" s="221" t="str">
        <x:v>Planned</x:v>
      </x:c>
      <x:c r="K99" s="221"/>
      <x:c r="L99" s="225"/>
    </x:row>
    <x:row r="100" ht="24" customHeight="1">
      <x:c r="A100" s="208"/>
      <x:c r="B100" s="195"/>
      <x:c r="C100" s="195"/>
      <x:c r="D100" s="195"/>
      <x:c r="E100" s="195"/>
      <x:c r="F100" s="195"/>
      <x:c r="G100" s="195"/>
      <x:c r="H100" s="195"/>
      <x:c r="I100" s="217" t="str">
        <x:f>IFERROR(H100/G100,"")</x:f>
      </x:c>
      <x:c r="J100" s="221" t="str">
        <x:v>Planned</x:v>
      </x:c>
      <x:c r="K100" s="221"/>
      <x:c r="L100" s="225"/>
    </x:row>
    <x:row r="101" ht="24" customHeight="1">
      <x:c r="A101" s="208"/>
      <x:c r="B101" s="195"/>
      <x:c r="C101" s="195"/>
      <x:c r="D101" s="195"/>
      <x:c r="E101" s="195"/>
      <x:c r="F101" s="195"/>
      <x:c r="G101" s="195"/>
      <x:c r="H101" s="195"/>
      <x:c r="I101" s="217" t="str">
        <x:f>IFERROR(H101/G101,"")</x:f>
      </x:c>
      <x:c r="J101" s="221" t="str">
        <x:v>Planned</x:v>
      </x:c>
      <x:c r="K101" s="221"/>
      <x:c r="L101" s="225"/>
    </x:row>
    <x:row r="102" ht="24" customHeight="1">
      <x:c r="A102" s="208"/>
      <x:c r="B102" s="195"/>
      <x:c r="C102" s="195"/>
      <x:c r="D102" s="195"/>
      <x:c r="E102" s="195"/>
      <x:c r="F102" s="195"/>
      <x:c r="G102" s="195"/>
      <x:c r="H102" s="195"/>
      <x:c r="I102" s="217" t="str">
        <x:f>IFERROR(H102/G102,"")</x:f>
      </x:c>
      <x:c r="J102" s="221" t="str">
        <x:v>Planned</x:v>
      </x:c>
      <x:c r="K102" s="221"/>
      <x:c r="L102" s="225"/>
    </x:row>
    <x:row r="103" ht="24" customHeight="1">
      <x:c r="A103" s="208"/>
      <x:c r="B103" s="195"/>
      <x:c r="C103" s="195"/>
      <x:c r="D103" s="195"/>
      <x:c r="E103" s="195"/>
      <x:c r="F103" s="195"/>
      <x:c r="G103" s="195"/>
      <x:c r="H103" s="195"/>
      <x:c r="I103" s="217" t="str">
        <x:f>IFERROR(H103/G103,"")</x:f>
      </x:c>
      <x:c r="J103" s="221" t="str">
        <x:v>Planned</x:v>
      </x:c>
      <x:c r="K103" s="221"/>
      <x:c r="L103" s="225"/>
    </x:row>
    <x:row r="104" ht="24" customHeight="1">
      <x:c r="A104" s="208"/>
      <x:c r="B104" s="195"/>
      <x:c r="C104" s="195"/>
      <x:c r="D104" s="195"/>
      <x:c r="E104" s="195"/>
      <x:c r="F104" s="195"/>
      <x:c r="G104" s="195"/>
      <x:c r="H104" s="195"/>
      <x:c r="I104" s="217" t="str">
        <x:f>IFERROR(H104/G104,"")</x:f>
      </x:c>
      <x:c r="J104" s="221" t="str">
        <x:v>Planned</x:v>
      </x:c>
      <x:c r="K104" s="221"/>
      <x:c r="L104" s="225"/>
    </x:row>
    <x:row r="105" ht="24" customHeight="1">
      <x:c r="A105" s="208"/>
      <x:c r="B105" s="195"/>
      <x:c r="C105" s="195"/>
      <x:c r="D105" s="195"/>
      <x:c r="E105" s="195"/>
      <x:c r="F105" s="195"/>
      <x:c r="G105" s="195"/>
      <x:c r="H105" s="195"/>
      <x:c r="I105" s="217" t="str">
        <x:f>IFERROR(H105/G105,"")</x:f>
      </x:c>
      <x:c r="J105" s="221" t="str">
        <x:v>Planned</x:v>
      </x:c>
      <x:c r="K105" s="221"/>
      <x:c r="L105" s="225"/>
    </x:row>
    <x:row r="106" ht="24" customHeight="1">
      <x:c r="A106" s="208"/>
      <x:c r="B106" s="195"/>
      <x:c r="C106" s="195"/>
      <x:c r="D106" s="195"/>
      <x:c r="E106" s="195"/>
      <x:c r="F106" s="195"/>
      <x:c r="G106" s="195"/>
      <x:c r="H106" s="195"/>
      <x:c r="I106" s="217" t="str">
        <x:f>IFERROR(H106/G106,"")</x:f>
      </x:c>
      <x:c r="J106" s="221" t="str">
        <x:v>Planned</x:v>
      </x:c>
      <x:c r="K106" s="221"/>
      <x:c r="L106" s="225"/>
    </x:row>
    <x:row r="107" ht="24" customHeight="1">
      <x:c r="A107" s="208"/>
      <x:c r="B107" s="195"/>
      <x:c r="C107" s="195"/>
      <x:c r="D107" s="195"/>
      <x:c r="E107" s="195"/>
      <x:c r="F107" s="195"/>
      <x:c r="G107" s="195"/>
      <x:c r="H107" s="195"/>
      <x:c r="I107" s="217" t="str">
        <x:f>IFERROR(H107/G107,"")</x:f>
      </x:c>
      <x:c r="J107" s="221" t="str">
        <x:v>Planned</x:v>
      </x:c>
      <x:c r="K107" s="221"/>
      <x:c r="L107" s="225"/>
    </x:row>
    <x:row r="108" ht="24" customHeight="1">
      <x:c r="A108" s="208"/>
      <x:c r="B108" s="195"/>
      <x:c r="C108" s="195"/>
      <x:c r="D108" s="195"/>
      <x:c r="E108" s="195"/>
      <x:c r="F108" s="195"/>
      <x:c r="G108" s="195"/>
      <x:c r="H108" s="195"/>
      <x:c r="I108" s="217" t="str">
        <x:f>IFERROR(H108/G108,"")</x:f>
      </x:c>
      <x:c r="J108" s="221" t="str">
        <x:v>Planned</x:v>
      </x:c>
      <x:c r="K108" s="221"/>
      <x:c r="L108" s="225"/>
    </x:row>
    <x:row r="109" ht="24" customHeight="1">
      <x:c r="A109" s="208"/>
      <x:c r="B109" s="195"/>
      <x:c r="C109" s="195"/>
      <x:c r="D109" s="195"/>
      <x:c r="E109" s="195"/>
      <x:c r="F109" s="195"/>
      <x:c r="G109" s="195"/>
      <x:c r="H109" s="195"/>
      <x:c r="I109" s="217" t="str">
        <x:f>IFERROR(H109/G109,"")</x:f>
      </x:c>
      <x:c r="J109" s="221" t="str">
        <x:v>Planned</x:v>
      </x:c>
      <x:c r="K109" s="221"/>
      <x:c r="L109" s="225"/>
    </x:row>
    <x:row r="110" ht="24" customHeight="1">
      <x:c r="A110" s="208"/>
      <x:c r="B110" s="195"/>
      <x:c r="C110" s="195"/>
      <x:c r="D110" s="195"/>
      <x:c r="E110" s="195"/>
      <x:c r="F110" s="195"/>
      <x:c r="G110" s="195"/>
      <x:c r="H110" s="195"/>
      <x:c r="I110" s="217" t="str">
        <x:f>IFERROR(H110/G110,"")</x:f>
      </x:c>
      <x:c r="J110" s="221" t="str">
        <x:v>Planned</x:v>
      </x:c>
      <x:c r="K110" s="221"/>
      <x:c r="L110" s="225"/>
    </x:row>
    <x:row r="111" ht="24" customHeight="1">
      <x:c r="A111" s="208"/>
      <x:c r="B111" s="195"/>
      <x:c r="C111" s="195"/>
      <x:c r="D111" s="195"/>
      <x:c r="E111" s="195"/>
      <x:c r="F111" s="195"/>
      <x:c r="G111" s="195"/>
      <x:c r="H111" s="195"/>
      <x:c r="I111" s="217" t="str">
        <x:f>IFERROR(H111/G111,"")</x:f>
      </x:c>
      <x:c r="J111" s="221" t="str">
        <x:v>Planned</x:v>
      </x:c>
      <x:c r="K111" s="221"/>
      <x:c r="L111" s="225"/>
    </x:row>
    <x:row r="112" ht="24" customHeight="1">
      <x:c r="A112" s="208"/>
      <x:c r="B112" s="195"/>
      <x:c r="C112" s="195"/>
      <x:c r="D112" s="195"/>
      <x:c r="E112" s="195"/>
      <x:c r="F112" s="195"/>
      <x:c r="G112" s="195"/>
      <x:c r="H112" s="195"/>
      <x:c r="I112" s="217" t="str">
        <x:f>IFERROR(H112/G112,"")</x:f>
      </x:c>
      <x:c r="J112" s="221" t="str">
        <x:v>Planned</x:v>
      </x:c>
      <x:c r="K112" s="221"/>
      <x:c r="L112" s="225"/>
    </x:row>
    <x:row r="113" ht="24" customHeight="1">
      <x:c r="A113" s="208"/>
      <x:c r="B113" s="195"/>
      <x:c r="C113" s="195"/>
      <x:c r="D113" s="195"/>
      <x:c r="E113" s="195"/>
      <x:c r="F113" s="195"/>
      <x:c r="G113" s="195"/>
      <x:c r="H113" s="195"/>
      <x:c r="I113" s="217" t="str">
        <x:f>IFERROR(H113/G113,"")</x:f>
      </x:c>
      <x:c r="J113" s="221" t="str">
        <x:v>Planned</x:v>
      </x:c>
      <x:c r="K113" s="221"/>
      <x:c r="L113" s="225"/>
    </x:row>
    <x:row r="114" ht="24" customHeight="1">
      <x:c r="A114" s="208"/>
      <x:c r="B114" s="195"/>
      <x:c r="C114" s="195"/>
      <x:c r="D114" s="195"/>
      <x:c r="E114" s="195"/>
      <x:c r="F114" s="195"/>
      <x:c r="G114" s="195"/>
      <x:c r="H114" s="195"/>
      <x:c r="I114" s="217" t="str">
        <x:f>IFERROR(H114/G114,"")</x:f>
      </x:c>
      <x:c r="J114" s="221" t="str">
        <x:v>Planned</x:v>
      </x:c>
      <x:c r="K114" s="221"/>
      <x:c r="L114" s="225"/>
    </x:row>
    <x:row r="115" ht="24" customHeight="1">
      <x:c r="A115" s="208"/>
      <x:c r="B115" s="195"/>
      <x:c r="C115" s="195"/>
      <x:c r="D115" s="195"/>
      <x:c r="E115" s="195"/>
      <x:c r="F115" s="195"/>
      <x:c r="G115" s="195"/>
      <x:c r="H115" s="195"/>
      <x:c r="I115" s="217" t="str">
        <x:f>IFERROR(H115/G115,"")</x:f>
      </x:c>
      <x:c r="J115" s="221" t="str">
        <x:v>Planned</x:v>
      </x:c>
      <x:c r="K115" s="221"/>
      <x:c r="L115" s="225"/>
    </x:row>
    <x:row r="116" ht="24" customHeight="1">
      <x:c r="A116" s="208"/>
      <x:c r="B116" s="195"/>
      <x:c r="C116" s="195"/>
      <x:c r="D116" s="195"/>
      <x:c r="E116" s="195"/>
      <x:c r="F116" s="195"/>
      <x:c r="G116" s="195"/>
      <x:c r="H116" s="195"/>
      <x:c r="I116" s="217" t="str">
        <x:f>IFERROR(H116/G116,"")</x:f>
      </x:c>
      <x:c r="J116" s="221" t="str">
        <x:v>Planned</x:v>
      </x:c>
      <x:c r="K116" s="221"/>
      <x:c r="L116" s="225"/>
    </x:row>
    <x:row r="117" ht="24" customHeight="1">
      <x:c r="A117" s="208"/>
      <x:c r="B117" s="195"/>
      <x:c r="C117" s="195"/>
      <x:c r="D117" s="195"/>
      <x:c r="E117" s="195"/>
      <x:c r="F117" s="195"/>
      <x:c r="G117" s="195"/>
      <x:c r="H117" s="195"/>
      <x:c r="I117" s="217" t="str">
        <x:f>IFERROR(H117/G117,"")</x:f>
      </x:c>
      <x:c r="J117" s="221" t="str">
        <x:v>Planned</x:v>
      </x:c>
      <x:c r="K117" s="221"/>
      <x:c r="L117" s="225"/>
    </x:row>
    <x:row r="118" ht="24" customHeight="1">
      <x:c r="A118" s="208"/>
      <x:c r="B118" s="195"/>
      <x:c r="C118" s="195"/>
      <x:c r="D118" s="195"/>
      <x:c r="E118" s="195"/>
      <x:c r="F118" s="195"/>
      <x:c r="G118" s="195"/>
      <x:c r="H118" s="195"/>
      <x:c r="I118" s="217" t="str">
        <x:f>IFERROR(H118/G118,"")</x:f>
      </x:c>
      <x:c r="J118" s="221" t="str">
        <x:v>Planned</x:v>
      </x:c>
      <x:c r="K118" s="221"/>
      <x:c r="L118" s="225"/>
    </x:row>
    <x:row r="119" ht="24" customHeight="1">
      <x:c r="A119" s="208"/>
      <x:c r="B119" s="195"/>
      <x:c r="C119" s="195"/>
      <x:c r="D119" s="195"/>
      <x:c r="E119" s="195"/>
      <x:c r="F119" s="195"/>
      <x:c r="G119" s="195"/>
      <x:c r="H119" s="195"/>
      <x:c r="I119" s="217" t="str">
        <x:f>IFERROR(H119/G119,"")</x:f>
      </x:c>
      <x:c r="J119" s="221" t="str">
        <x:v>Planned</x:v>
      </x:c>
      <x:c r="K119" s="221"/>
      <x:c r="L119" s="225"/>
    </x:row>
    <x:row r="120" ht="24" customHeight="1">
      <x:c r="A120" s="208"/>
      <x:c r="B120" s="195"/>
      <x:c r="C120" s="195"/>
      <x:c r="D120" s="195"/>
      <x:c r="E120" s="195"/>
      <x:c r="F120" s="195"/>
      <x:c r="G120" s="195"/>
      <x:c r="H120" s="195"/>
      <x:c r="I120" s="217" t="str">
        <x:f>IFERROR(H120/G120,"")</x:f>
      </x:c>
      <x:c r="J120" s="221" t="str">
        <x:v>Planned</x:v>
      </x:c>
      <x:c r="K120" s="221"/>
      <x:c r="L120" s="225"/>
    </x:row>
    <x:row r="121" ht="24" customHeight="1">
      <x:c r="A121" s="208"/>
      <x:c r="B121" s="195"/>
      <x:c r="C121" s="195"/>
      <x:c r="D121" s="195"/>
      <x:c r="E121" s="195"/>
      <x:c r="F121" s="195"/>
      <x:c r="G121" s="195"/>
      <x:c r="H121" s="195"/>
      <x:c r="I121" s="217" t="str">
        <x:f>IFERROR(H121/G121,"")</x:f>
      </x:c>
      <x:c r="J121" s="221" t="str">
        <x:v>Planned</x:v>
      </x:c>
      <x:c r="K121" s="221"/>
      <x:c r="L121" s="225"/>
    </x:row>
    <x:row r="122" ht="24" customHeight="1">
      <x:c r="A122" s="208"/>
      <x:c r="B122" s="195"/>
      <x:c r="C122" s="195"/>
      <x:c r="D122" s="195"/>
      <x:c r="E122" s="195"/>
      <x:c r="F122" s="195"/>
      <x:c r="G122" s="195"/>
      <x:c r="H122" s="195"/>
      <x:c r="I122" s="217" t="str">
        <x:f>IFERROR(H122/G122,"")</x:f>
      </x:c>
      <x:c r="J122" s="221" t="str">
        <x:v>Planned</x:v>
      </x:c>
      <x:c r="K122" s="221"/>
      <x:c r="L122" s="225"/>
    </x:row>
    <x:row r="123" ht="24" customHeight="1">
      <x:c r="A123" s="208"/>
      <x:c r="B123" s="195"/>
      <x:c r="C123" s="195"/>
      <x:c r="D123" s="195"/>
      <x:c r="E123" s="195"/>
      <x:c r="F123" s="195"/>
      <x:c r="G123" s="195"/>
      <x:c r="H123" s="195"/>
      <x:c r="I123" s="217" t="str">
        <x:f>IFERROR(H123/G123,"")</x:f>
      </x:c>
      <x:c r="J123" s="221" t="str">
        <x:v>Planned</x:v>
      </x:c>
      <x:c r="K123" s="221"/>
      <x:c r="L123" s="225"/>
    </x:row>
    <x:row r="124" ht="24" customHeight="1">
      <x:c r="A124" s="208"/>
      <x:c r="B124" s="195"/>
      <x:c r="C124" s="195"/>
      <x:c r="D124" s="195"/>
      <x:c r="E124" s="195"/>
      <x:c r="F124" s="195"/>
      <x:c r="G124" s="195"/>
      <x:c r="H124" s="195"/>
      <x:c r="I124" s="217" t="str">
        <x:f>IFERROR(H124/G124,"")</x:f>
      </x:c>
      <x:c r="J124" s="221" t="str">
        <x:v>Planned</x:v>
      </x:c>
      <x:c r="K124" s="221"/>
      <x:c r="L124" s="225"/>
    </x:row>
    <x:row r="125" ht="24" customHeight="1">
      <x:c r="A125" s="208"/>
      <x:c r="B125" s="195"/>
      <x:c r="C125" s="195"/>
      <x:c r="D125" s="195"/>
      <x:c r="E125" s="195"/>
      <x:c r="F125" s="195"/>
      <x:c r="G125" s="195"/>
      <x:c r="H125" s="195"/>
      <x:c r="I125" s="217" t="str">
        <x:f>IFERROR(H125/G125,"")</x:f>
      </x:c>
      <x:c r="J125" s="221" t="str">
        <x:v>Planned</x:v>
      </x:c>
      <x:c r="K125" s="221"/>
      <x:c r="L125" s="225"/>
    </x:row>
    <x:row r="126" ht="24" customHeight="1">
      <x:c r="A126" s="208"/>
      <x:c r="B126" s="195"/>
      <x:c r="C126" s="195"/>
      <x:c r="D126" s="195"/>
      <x:c r="E126" s="195"/>
      <x:c r="F126" s="195"/>
      <x:c r="G126" s="195"/>
      <x:c r="H126" s="195"/>
      <x:c r="I126" s="217" t="str">
        <x:f>IFERROR(H126/G126,"")</x:f>
      </x:c>
      <x:c r="J126" s="221" t="str">
        <x:v>Planned</x:v>
      </x:c>
      <x:c r="K126" s="221"/>
      <x:c r="L126" s="225"/>
    </x:row>
    <x:row r="127" ht="24" customHeight="1">
      <x:c r="A127" s="208"/>
      <x:c r="B127" s="195"/>
      <x:c r="C127" s="195"/>
      <x:c r="D127" s="195"/>
      <x:c r="E127" s="195"/>
      <x:c r="F127" s="195"/>
      <x:c r="G127" s="195"/>
      <x:c r="H127" s="195"/>
      <x:c r="I127" s="217" t="str">
        <x:f>IFERROR(H127/G127,"")</x:f>
      </x:c>
      <x:c r="J127" s="221" t="str">
        <x:v>Planned</x:v>
      </x:c>
      <x:c r="K127" s="221"/>
      <x:c r="L127" s="225"/>
    </x:row>
    <x:row r="128" ht="24" customHeight="1">
      <x:c r="A128" s="208"/>
      <x:c r="B128" s="195"/>
      <x:c r="C128" s="195"/>
      <x:c r="D128" s="195"/>
      <x:c r="E128" s="195"/>
      <x:c r="F128" s="195"/>
      <x:c r="G128" s="195"/>
      <x:c r="H128" s="195"/>
      <x:c r="I128" s="217" t="str">
        <x:f>IFERROR(H128/G128,"")</x:f>
      </x:c>
      <x:c r="J128" s="221" t="str">
        <x:v>Planned</x:v>
      </x:c>
      <x:c r="K128" s="221"/>
      <x:c r="L128" s="225"/>
    </x:row>
    <x:row r="129" ht="24" customHeight="1">
      <x:c r="A129" s="208"/>
      <x:c r="B129" s="195"/>
      <x:c r="C129" s="195"/>
      <x:c r="D129" s="195"/>
      <x:c r="E129" s="195"/>
      <x:c r="F129" s="195"/>
      <x:c r="G129" s="195"/>
      <x:c r="H129" s="195"/>
      <x:c r="I129" s="217" t="str">
        <x:f>IFERROR(H129/G129,"")</x:f>
      </x:c>
      <x:c r="J129" s="221" t="str">
        <x:v>Planned</x:v>
      </x:c>
      <x:c r="K129" s="221"/>
      <x:c r="L129" s="225"/>
    </x:row>
    <x:row r="130" ht="24" customHeight="1">
      <x:c r="A130" s="208"/>
      <x:c r="B130" s="195"/>
      <x:c r="C130" s="195"/>
      <x:c r="D130" s="195"/>
      <x:c r="E130" s="195"/>
      <x:c r="F130" s="195"/>
      <x:c r="G130" s="195"/>
      <x:c r="H130" s="195"/>
      <x:c r="I130" s="217" t="str">
        <x:f>IFERROR(H130/G130,"")</x:f>
      </x:c>
      <x:c r="J130" s="221" t="str">
        <x:v>Planned</x:v>
      </x:c>
      <x:c r="K130" s="221"/>
      <x:c r="L130" s="225"/>
    </x:row>
    <x:row r="131" ht="24" customHeight="1">
      <x:c r="A131" s="208"/>
      <x:c r="B131" s="195"/>
      <x:c r="C131" s="195"/>
      <x:c r="D131" s="195"/>
      <x:c r="E131" s="195"/>
      <x:c r="F131" s="195"/>
      <x:c r="G131" s="195"/>
      <x:c r="H131" s="195"/>
      <x:c r="I131" s="217" t="str">
        <x:f>IFERROR(H131/G131,"")</x:f>
      </x:c>
      <x:c r="J131" s="221" t="str">
        <x:v>Planned</x:v>
      </x:c>
      <x:c r="K131" s="221"/>
      <x:c r="L131" s="225"/>
    </x:row>
    <x:row r="132" ht="24" customHeight="1">
      <x:c r="A132" s="208"/>
      <x:c r="B132" s="195"/>
      <x:c r="C132" s="195"/>
      <x:c r="D132" s="195"/>
      <x:c r="E132" s="195"/>
      <x:c r="F132" s="195"/>
      <x:c r="G132" s="195"/>
      <x:c r="H132" s="195"/>
      <x:c r="I132" s="217" t="str">
        <x:f>IFERROR(H132/G132,"")</x:f>
      </x:c>
      <x:c r="J132" s="221" t="str">
        <x:v>Planned</x:v>
      </x:c>
      <x:c r="K132" s="221"/>
      <x:c r="L132" s="225"/>
    </x:row>
    <x:row r="133" ht="24" customHeight="1">
      <x:c r="A133" s="208"/>
      <x:c r="B133" s="195"/>
      <x:c r="C133" s="195"/>
      <x:c r="D133" s="195"/>
      <x:c r="E133" s="195"/>
      <x:c r="F133" s="195"/>
      <x:c r="G133" s="195"/>
      <x:c r="H133" s="195"/>
      <x:c r="I133" s="217" t="str">
        <x:f>IFERROR(H133/G133,"")</x:f>
      </x:c>
      <x:c r="J133" s="221" t="str">
        <x:v>Planned</x:v>
      </x:c>
      <x:c r="K133" s="221"/>
      <x:c r="L133" s="225"/>
    </x:row>
    <x:row r="134" ht="24" customHeight="1">
      <x:c r="A134" s="208"/>
      <x:c r="B134" s="195"/>
      <x:c r="C134" s="195"/>
      <x:c r="D134" s="195"/>
      <x:c r="E134" s="195"/>
      <x:c r="F134" s="195"/>
      <x:c r="G134" s="195"/>
      <x:c r="H134" s="195"/>
      <x:c r="I134" s="217" t="str">
        <x:f>IFERROR(H134/G134,"")</x:f>
      </x:c>
      <x:c r="J134" s="221" t="str">
        <x:v>Planned</x:v>
      </x:c>
      <x:c r="K134" s="221"/>
      <x:c r="L134" s="225"/>
    </x:row>
    <x:row r="135" ht="24" customHeight="1">
      <x:c r="A135" s="208"/>
      <x:c r="B135" s="195"/>
      <x:c r="C135" s="195"/>
      <x:c r="D135" s="195"/>
      <x:c r="E135" s="195"/>
      <x:c r="F135" s="195"/>
      <x:c r="G135" s="195"/>
      <x:c r="H135" s="195"/>
      <x:c r="I135" s="217" t="str">
        <x:f>IFERROR(H135/G135,"")</x:f>
      </x:c>
      <x:c r="J135" s="221" t="str">
        <x:v>Planned</x:v>
      </x:c>
      <x:c r="K135" s="221"/>
      <x:c r="L135" s="225"/>
    </x:row>
    <x:row r="136" ht="24" customHeight="1">
      <x:c r="A136" s="208"/>
      <x:c r="B136" s="195"/>
      <x:c r="C136" s="195"/>
      <x:c r="D136" s="195"/>
      <x:c r="E136" s="195"/>
      <x:c r="F136" s="195"/>
      <x:c r="G136" s="195"/>
      <x:c r="H136" s="195"/>
      <x:c r="I136" s="217" t="str">
        <x:f>IFERROR(H136/G136,"")</x:f>
      </x:c>
      <x:c r="J136" s="221" t="str">
        <x:v>Planned</x:v>
      </x:c>
      <x:c r="K136" s="221"/>
      <x:c r="L136" s="225"/>
    </x:row>
    <x:row r="137" ht="24" customHeight="1">
      <x:c r="A137" s="208"/>
      <x:c r="B137" s="195"/>
      <x:c r="C137" s="195"/>
      <x:c r="D137" s="195"/>
      <x:c r="E137" s="195"/>
      <x:c r="F137" s="195"/>
      <x:c r="G137" s="195"/>
      <x:c r="H137" s="195"/>
      <x:c r="I137" s="217" t="str">
        <x:f>IFERROR(H137/G137,"")</x:f>
      </x:c>
      <x:c r="J137" s="221" t="str">
        <x:v>Planned</x:v>
      </x:c>
      <x:c r="K137" s="221"/>
      <x:c r="L137" s="225"/>
    </x:row>
    <x:row r="138" ht="24" customHeight="1">
      <x:c r="A138" s="208"/>
      <x:c r="B138" s="195"/>
      <x:c r="C138" s="195"/>
      <x:c r="D138" s="195"/>
      <x:c r="E138" s="195"/>
      <x:c r="F138" s="195"/>
      <x:c r="G138" s="195"/>
      <x:c r="H138" s="195"/>
      <x:c r="I138" s="217" t="str">
        <x:f>IFERROR(H138/G138,"")</x:f>
      </x:c>
      <x:c r="J138" s="221" t="str">
        <x:v>Planned</x:v>
      </x:c>
      <x:c r="K138" s="221"/>
      <x:c r="L138" s="225"/>
    </x:row>
    <x:row r="139" ht="24" customHeight="1">
      <x:c r="A139" s="208"/>
      <x:c r="B139" s="195"/>
      <x:c r="C139" s="195"/>
      <x:c r="D139" s="195"/>
      <x:c r="E139" s="195"/>
      <x:c r="F139" s="195"/>
      <x:c r="G139" s="195"/>
      <x:c r="H139" s="195"/>
      <x:c r="I139" s="217" t="str">
        <x:f>IFERROR(H139/G139,"")</x:f>
      </x:c>
      <x:c r="J139" s="221" t="str">
        <x:v>Planned</x:v>
      </x:c>
      <x:c r="K139" s="221"/>
      <x:c r="L139" s="225"/>
    </x:row>
    <x:row r="140" ht="24" customHeight="1">
      <x:c r="A140" s="208"/>
      <x:c r="B140" s="195"/>
      <x:c r="C140" s="195"/>
      <x:c r="D140" s="195"/>
      <x:c r="E140" s="195"/>
      <x:c r="F140" s="195"/>
      <x:c r="G140" s="195"/>
      <x:c r="H140" s="195"/>
      <x:c r="I140" s="217" t="str">
        <x:f>IFERROR(H140/G140,"")</x:f>
      </x:c>
      <x:c r="J140" s="221" t="str">
        <x:v>Planned</x:v>
      </x:c>
      <x:c r="K140" s="221"/>
      <x:c r="L140" s="225"/>
    </x:row>
    <x:row r="141" ht="24" customHeight="1">
      <x:c r="A141" s="208"/>
      <x:c r="B141" s="195"/>
      <x:c r="C141" s="195"/>
      <x:c r="D141" s="195"/>
      <x:c r="E141" s="195"/>
      <x:c r="F141" s="195"/>
      <x:c r="G141" s="195"/>
      <x:c r="H141" s="195"/>
      <x:c r="I141" s="217" t="str">
        <x:f>IFERROR(H141/G141,"")</x:f>
      </x:c>
      <x:c r="J141" s="221" t="str">
        <x:v>Planned</x:v>
      </x:c>
      <x:c r="K141" s="221"/>
      <x:c r="L141" s="225"/>
    </x:row>
    <x:row r="142" ht="24" customHeight="1">
      <x:c r="A142" s="208"/>
      <x:c r="B142" s="195"/>
      <x:c r="C142" s="195"/>
      <x:c r="D142" s="195"/>
      <x:c r="E142" s="195"/>
      <x:c r="F142" s="195"/>
      <x:c r="G142" s="195"/>
      <x:c r="H142" s="195"/>
      <x:c r="I142" s="217" t="str">
        <x:f>IFERROR(H142/G142,"")</x:f>
      </x:c>
      <x:c r="J142" s="221" t="str">
        <x:v>Planned</x:v>
      </x:c>
      <x:c r="K142" s="221"/>
      <x:c r="L142" s="225"/>
    </x:row>
    <x:row r="143" ht="24" customHeight="1">
      <x:c r="A143" s="208"/>
      <x:c r="B143" s="195"/>
      <x:c r="C143" s="195"/>
      <x:c r="D143" s="195"/>
      <x:c r="E143" s="195"/>
      <x:c r="F143" s="195"/>
      <x:c r="G143" s="195"/>
      <x:c r="H143" s="195"/>
      <x:c r="I143" s="217" t="str">
        <x:f>IFERROR(H143/G143,"")</x:f>
      </x:c>
      <x:c r="J143" s="221" t="str">
        <x:v>Planned</x:v>
      </x:c>
      <x:c r="K143" s="221"/>
      <x:c r="L143" s="225"/>
    </x:row>
    <x:row r="144" ht="24" customHeight="1">
      <x:c r="A144" s="208"/>
      <x:c r="B144" s="195"/>
      <x:c r="C144" s="195"/>
      <x:c r="D144" s="195"/>
      <x:c r="E144" s="195"/>
      <x:c r="F144" s="195"/>
      <x:c r="G144" s="195"/>
      <x:c r="H144" s="195"/>
      <x:c r="I144" s="217" t="str">
        <x:f>IFERROR(H144/G144,"")</x:f>
      </x:c>
      <x:c r="J144" s="221" t="str">
        <x:v>Planned</x:v>
      </x:c>
      <x:c r="K144" s="221"/>
      <x:c r="L144" s="225"/>
    </x:row>
    <x:row r="145" ht="24" customHeight="1">
      <x:c r="A145" s="208"/>
      <x:c r="B145" s="195"/>
      <x:c r="C145" s="195"/>
      <x:c r="D145" s="195"/>
      <x:c r="E145" s="195"/>
      <x:c r="F145" s="195"/>
      <x:c r="G145" s="195"/>
      <x:c r="H145" s="195"/>
      <x:c r="I145" s="217" t="str">
        <x:f>IFERROR(H145/G145,"")</x:f>
      </x:c>
      <x:c r="J145" s="221" t="str">
        <x:v>Planned</x:v>
      </x:c>
      <x:c r="K145" s="221"/>
      <x:c r="L145" s="225"/>
    </x:row>
    <x:row r="146" ht="24" customHeight="1">
      <x:c r="A146" s="208"/>
      <x:c r="B146" s="195"/>
      <x:c r="C146" s="195"/>
      <x:c r="D146" s="195"/>
      <x:c r="E146" s="195"/>
      <x:c r="F146" s="195"/>
      <x:c r="G146" s="195"/>
      <x:c r="H146" s="195"/>
      <x:c r="I146" s="217" t="str">
        <x:f>IFERROR(H146/G146,"")</x:f>
      </x:c>
      <x:c r="J146" s="221" t="str">
        <x:v>Planned</x:v>
      </x:c>
      <x:c r="K146" s="221"/>
      <x:c r="L146" s="225"/>
    </x:row>
    <x:row r="147" ht="24" customHeight="1">
      <x:c r="A147" s="208"/>
      <x:c r="B147" s="195"/>
      <x:c r="C147" s="195"/>
      <x:c r="D147" s="195"/>
      <x:c r="E147" s="195"/>
      <x:c r="F147" s="195"/>
      <x:c r="G147" s="195"/>
      <x:c r="H147" s="195"/>
      <x:c r="I147" s="217" t="str">
        <x:f>IFERROR(H147/G147,"")</x:f>
      </x:c>
      <x:c r="J147" s="221" t="str">
        <x:v>Planned</x:v>
      </x:c>
      <x:c r="K147" s="221"/>
      <x:c r="L147" s="225"/>
    </x:row>
    <x:row r="148" ht="24" customHeight="1">
      <x:c r="A148" s="208"/>
      <x:c r="B148" s="195"/>
      <x:c r="C148" s="195"/>
      <x:c r="D148" s="195"/>
      <x:c r="E148" s="195"/>
      <x:c r="F148" s="195"/>
      <x:c r="G148" s="195"/>
      <x:c r="H148" s="195"/>
      <x:c r="I148" s="217" t="str">
        <x:f>IFERROR(H148/G148,"")</x:f>
      </x:c>
      <x:c r="J148" s="221" t="str">
        <x:v>Planned</x:v>
      </x:c>
      <x:c r="K148" s="221"/>
      <x:c r="L148" s="225"/>
    </x:row>
    <x:row r="149" ht="24" customHeight="1">
      <x:c r="A149" s="208"/>
      <x:c r="B149" s="195"/>
      <x:c r="C149" s="195"/>
      <x:c r="D149" s="195"/>
      <x:c r="E149" s="195"/>
      <x:c r="F149" s="195"/>
      <x:c r="G149" s="195"/>
      <x:c r="H149" s="195"/>
      <x:c r="I149" s="217" t="str">
        <x:f>IFERROR(H149/G149,"")</x:f>
      </x:c>
      <x:c r="J149" s="221" t="str">
        <x:v>Planned</x:v>
      </x:c>
      <x:c r="K149" s="221"/>
      <x:c r="L149" s="225"/>
    </x:row>
    <x:row r="150" ht="24" customHeight="1">
      <x:c r="A150" s="208"/>
      <x:c r="B150" s="195"/>
      <x:c r="C150" s="195"/>
      <x:c r="D150" s="195"/>
      <x:c r="E150" s="195"/>
      <x:c r="F150" s="195"/>
      <x:c r="G150" s="195"/>
      <x:c r="H150" s="195"/>
      <x:c r="I150" s="217" t="str">
        <x:f>IFERROR(H150/G150,"")</x:f>
      </x:c>
      <x:c r="J150" s="221" t="str">
        <x:v>Planned</x:v>
      </x:c>
      <x:c r="K150" s="221"/>
      <x:c r="L150" s="225"/>
    </x:row>
    <x:row r="151" ht="24" customHeight="1">
      <x:c r="A151" s="208"/>
      <x:c r="B151" s="195"/>
      <x:c r="C151" s="195"/>
      <x:c r="D151" s="195"/>
      <x:c r="E151" s="195"/>
      <x:c r="F151" s="195"/>
      <x:c r="G151" s="195"/>
      <x:c r="H151" s="195"/>
      <x:c r="I151" s="217" t="str">
        <x:f>IFERROR(H151/G151,"")</x:f>
      </x:c>
      <x:c r="J151" s="221" t="str">
        <x:v>Planned</x:v>
      </x:c>
      <x:c r="K151" s="221"/>
      <x:c r="L151" s="225"/>
    </x:row>
    <x:row r="152" ht="24" customHeight="1">
      <x:c r="A152" s="208"/>
      <x:c r="B152" s="195"/>
      <x:c r="C152" s="195"/>
      <x:c r="D152" s="195"/>
      <x:c r="E152" s="195"/>
      <x:c r="F152" s="195"/>
      <x:c r="G152" s="195"/>
      <x:c r="H152" s="195"/>
      <x:c r="I152" s="217" t="str">
        <x:f>IFERROR(H152/G152,"")</x:f>
      </x:c>
      <x:c r="J152" s="221" t="str">
        <x:v>Planned</x:v>
      </x:c>
      <x:c r="K152" s="221"/>
      <x:c r="L152" s="225"/>
    </x:row>
    <x:row r="153" ht="24" customHeight="1">
      <x:c r="A153" s="208"/>
      <x:c r="B153" s="195"/>
      <x:c r="C153" s="195"/>
      <x:c r="D153" s="195"/>
      <x:c r="E153" s="195"/>
      <x:c r="F153" s="195"/>
      <x:c r="G153" s="195"/>
      <x:c r="H153" s="195"/>
      <x:c r="I153" s="217" t="str">
        <x:f>IFERROR(H153/G153,"")</x:f>
      </x:c>
      <x:c r="J153" s="221" t="str">
        <x:v>Planned</x:v>
      </x:c>
      <x:c r="K153" s="221"/>
      <x:c r="L153" s="225"/>
    </x:row>
    <x:row r="154" ht="24" customHeight="1">
      <x:c r="A154" s="208"/>
      <x:c r="B154" s="195"/>
      <x:c r="C154" s="195"/>
      <x:c r="D154" s="195"/>
      <x:c r="E154" s="195"/>
      <x:c r="F154" s="195"/>
      <x:c r="G154" s="195"/>
      <x:c r="H154" s="195"/>
      <x:c r="I154" s="217" t="str">
        <x:f>IFERROR(H154/G154,"")</x:f>
      </x:c>
      <x:c r="J154" s="221" t="str">
        <x:v>Planned</x:v>
      </x:c>
      <x:c r="K154" s="221"/>
      <x:c r="L154" s="225"/>
    </x:row>
    <x:row r="155" ht="24" customHeight="1">
      <x:c r="A155" s="208"/>
      <x:c r="B155" s="195"/>
      <x:c r="C155" s="195"/>
      <x:c r="D155" s="195"/>
      <x:c r="E155" s="195"/>
      <x:c r="F155" s="195"/>
      <x:c r="G155" s="195"/>
      <x:c r="H155" s="195"/>
      <x:c r="I155" s="217" t="str">
        <x:f>IFERROR(H155/G155,"")</x:f>
      </x:c>
      <x:c r="J155" s="221" t="str">
        <x:v>Planned</x:v>
      </x:c>
      <x:c r="K155" s="221"/>
      <x:c r="L155" s="225"/>
    </x:row>
    <x:row r="156" ht="24" customHeight="1">
      <x:c r="A156" s="208"/>
      <x:c r="B156" s="195"/>
      <x:c r="C156" s="195"/>
      <x:c r="D156" s="195"/>
      <x:c r="E156" s="195"/>
      <x:c r="F156" s="195"/>
      <x:c r="G156" s="195"/>
      <x:c r="H156" s="195"/>
      <x:c r="I156" s="217" t="str">
        <x:f>IFERROR(H156/G156,"")</x:f>
      </x:c>
      <x:c r="J156" s="221" t="str">
        <x:v>Planned</x:v>
      </x:c>
      <x:c r="K156" s="221"/>
      <x:c r="L156" s="225"/>
    </x:row>
    <x:row r="157" ht="24" customHeight="1">
      <x:c r="A157" s="208"/>
      <x:c r="B157" s="195"/>
      <x:c r="C157" s="195"/>
      <x:c r="D157" s="195"/>
      <x:c r="E157" s="195"/>
      <x:c r="F157" s="195"/>
      <x:c r="G157" s="195"/>
      <x:c r="H157" s="195"/>
      <x:c r="I157" s="217" t="str">
        <x:f>IFERROR(H157/G157,"")</x:f>
      </x:c>
      <x:c r="J157" s="221" t="str">
        <x:v>Planned</x:v>
      </x:c>
      <x:c r="K157" s="221"/>
      <x:c r="L157" s="225"/>
    </x:row>
    <x:row r="158" ht="24" customHeight="1">
      <x:c r="A158" s="208"/>
      <x:c r="B158" s="195"/>
      <x:c r="C158" s="195"/>
      <x:c r="D158" s="195"/>
      <x:c r="E158" s="195"/>
      <x:c r="F158" s="195"/>
      <x:c r="G158" s="195"/>
      <x:c r="H158" s="195"/>
      <x:c r="I158" s="217" t="str">
        <x:f>IFERROR(H158/G158,"")</x:f>
      </x:c>
      <x:c r="J158" s="221" t="str">
        <x:v>Planned</x:v>
      </x:c>
      <x:c r="K158" s="221"/>
      <x:c r="L158" s="225"/>
    </x:row>
    <x:row r="159" ht="24" customHeight="1">
      <x:c r="A159" s="208"/>
      <x:c r="B159" s="195"/>
      <x:c r="C159" s="195"/>
      <x:c r="D159" s="195"/>
      <x:c r="E159" s="195"/>
      <x:c r="F159" s="195"/>
      <x:c r="G159" s="195"/>
      <x:c r="H159" s="195"/>
      <x:c r="I159" s="217" t="str">
        <x:f>IFERROR(H159/G159,"")</x:f>
      </x:c>
      <x:c r="J159" s="221" t="str">
        <x:v>Planned</x:v>
      </x:c>
      <x:c r="K159" s="221"/>
      <x:c r="L159" s="225"/>
    </x:row>
    <x:row r="160" ht="24" customHeight="1">
      <x:c r="A160" s="208"/>
      <x:c r="B160" s="195"/>
      <x:c r="C160" s="195"/>
      <x:c r="D160" s="195"/>
      <x:c r="E160" s="195"/>
      <x:c r="F160" s="195"/>
      <x:c r="G160" s="195"/>
      <x:c r="H160" s="195"/>
      <x:c r="I160" s="217" t="str">
        <x:f>IFERROR(H160/G160,"")</x:f>
      </x:c>
      <x:c r="J160" s="221" t="str">
        <x:v>Planned</x:v>
      </x:c>
      <x:c r="K160" s="221"/>
      <x:c r="L160" s="225"/>
    </x:row>
    <x:row r="161" ht="24" customHeight="1">
      <x:c r="A161" s="208"/>
      <x:c r="B161" s="195"/>
      <x:c r="C161" s="195"/>
      <x:c r="D161" s="195"/>
      <x:c r="E161" s="195"/>
      <x:c r="F161" s="195"/>
      <x:c r="G161" s="195"/>
      <x:c r="H161" s="195"/>
      <x:c r="I161" s="217" t="str">
        <x:f>IFERROR(H161/G161,"")</x:f>
      </x:c>
      <x:c r="J161" s="221" t="str">
        <x:v>Planned</x:v>
      </x:c>
      <x:c r="K161" s="221"/>
      <x:c r="L161" s="225"/>
    </x:row>
    <x:row r="162" ht="24" customHeight="1">
      <x:c r="A162" s="208"/>
      <x:c r="B162" s="195"/>
      <x:c r="C162" s="195"/>
      <x:c r="D162" s="195"/>
      <x:c r="E162" s="195"/>
      <x:c r="F162" s="195"/>
      <x:c r="G162" s="195"/>
      <x:c r="H162" s="195"/>
      <x:c r="I162" s="217" t="str">
        <x:f>IFERROR(H162/G162,"")</x:f>
      </x:c>
      <x:c r="J162" s="221" t="str">
        <x:v>Planned</x:v>
      </x:c>
      <x:c r="K162" s="221"/>
      <x:c r="L162" s="225"/>
    </x:row>
    <x:row r="163" ht="24" customHeight="1">
      <x:c r="A163" s="208"/>
      <x:c r="B163" s="195"/>
      <x:c r="C163" s="195"/>
      <x:c r="D163" s="195"/>
      <x:c r="E163" s="195"/>
      <x:c r="F163" s="195"/>
      <x:c r="G163" s="195"/>
      <x:c r="H163" s="195"/>
      <x:c r="I163" s="217" t="str">
        <x:f>IFERROR(H163/G163,"")</x:f>
      </x:c>
      <x:c r="J163" s="221" t="str">
        <x:v>Planned</x:v>
      </x:c>
      <x:c r="K163" s="221"/>
      <x:c r="L163" s="225"/>
    </x:row>
    <x:row r="164" ht="24" customHeight="1">
      <x:c r="A164" s="208"/>
      <x:c r="B164" s="195"/>
      <x:c r="C164" s="195"/>
      <x:c r="D164" s="195"/>
      <x:c r="E164" s="195"/>
      <x:c r="F164" s="195"/>
      <x:c r="G164" s="195"/>
      <x:c r="H164" s="195"/>
      <x:c r="I164" s="217" t="str">
        <x:f>IFERROR(H164/G164,"")</x:f>
      </x:c>
      <x:c r="J164" s="221" t="str">
        <x:v>Planned</x:v>
      </x:c>
      <x:c r="K164" s="221"/>
      <x:c r="L164" s="225"/>
    </x:row>
    <x:row r="165" ht="24" customHeight="1">
      <x:c r="A165" s="208"/>
      <x:c r="B165" s="195"/>
      <x:c r="C165" s="195"/>
      <x:c r="D165" s="195"/>
      <x:c r="E165" s="195"/>
      <x:c r="F165" s="195"/>
      <x:c r="G165" s="195"/>
      <x:c r="H165" s="195"/>
      <x:c r="I165" s="217" t="str">
        <x:f>IFERROR(H165/G165,"")</x:f>
      </x:c>
      <x:c r="J165" s="221" t="str">
        <x:v>Planned</x:v>
      </x:c>
      <x:c r="K165" s="221"/>
      <x:c r="L165" s="225"/>
    </x:row>
    <x:row r="166" ht="24" customHeight="1">
      <x:c r="A166" s="208"/>
      <x:c r="B166" s="195"/>
      <x:c r="C166" s="195"/>
      <x:c r="D166" s="195"/>
      <x:c r="E166" s="195"/>
      <x:c r="F166" s="195"/>
      <x:c r="G166" s="195"/>
      <x:c r="H166" s="195"/>
      <x:c r="I166" s="217" t="str">
        <x:f>IFERROR(H166/G166,"")</x:f>
      </x:c>
      <x:c r="J166" s="221" t="str">
        <x:v>Planned</x:v>
      </x:c>
      <x:c r="K166" s="221"/>
      <x:c r="L166" s="225"/>
    </x:row>
    <x:row r="167" ht="24" customHeight="1">
      <x:c r="A167" s="208"/>
      <x:c r="B167" s="195"/>
      <x:c r="C167" s="195"/>
      <x:c r="D167" s="195"/>
      <x:c r="E167" s="195"/>
      <x:c r="F167" s="195"/>
      <x:c r="G167" s="195"/>
      <x:c r="H167" s="195"/>
      <x:c r="I167" s="217" t="str">
        <x:f>IFERROR(H167/G167,"")</x:f>
      </x:c>
      <x:c r="J167" s="221" t="str">
        <x:v>Planned</x:v>
      </x:c>
      <x:c r="K167" s="221"/>
      <x:c r="L167" s="225"/>
    </x:row>
    <x:row r="168" ht="24" customHeight="1">
      <x:c r="A168" s="208"/>
      <x:c r="B168" s="195"/>
      <x:c r="C168" s="195"/>
      <x:c r="D168" s="195"/>
      <x:c r="E168" s="195"/>
      <x:c r="F168" s="195"/>
      <x:c r="G168" s="195"/>
      <x:c r="H168" s="195"/>
      <x:c r="I168" s="217" t="str">
        <x:f>IFERROR(H168/G168,"")</x:f>
      </x:c>
      <x:c r="J168" s="221" t="str">
        <x:v>Planned</x:v>
      </x:c>
      <x:c r="K168" s="221"/>
      <x:c r="L168" s="225"/>
    </x:row>
    <x:row r="169" ht="24" customHeight="1">
      <x:c r="A169" s="208"/>
      <x:c r="B169" s="195"/>
      <x:c r="C169" s="195"/>
      <x:c r="D169" s="195"/>
      <x:c r="E169" s="195"/>
      <x:c r="F169" s="195"/>
      <x:c r="G169" s="195"/>
      <x:c r="H169" s="195"/>
      <x:c r="I169" s="217" t="str">
        <x:f>IFERROR(H169/G169,"")</x:f>
      </x:c>
      <x:c r="J169" s="221" t="str">
        <x:v>Planned</x:v>
      </x:c>
      <x:c r="K169" s="221"/>
      <x:c r="L169" s="225"/>
    </x:row>
    <x:row r="170" ht="24" customHeight="1">
      <x:c r="A170" s="208"/>
      <x:c r="B170" s="195"/>
      <x:c r="C170" s="195"/>
      <x:c r="D170" s="195"/>
      <x:c r="E170" s="195"/>
      <x:c r="F170" s="195"/>
      <x:c r="G170" s="195"/>
      <x:c r="H170" s="195"/>
      <x:c r="I170" s="217" t="str">
        <x:f>IFERROR(H170/G170,"")</x:f>
      </x:c>
      <x:c r="J170" s="221" t="str">
        <x:v>Planned</x:v>
      </x:c>
      <x:c r="K170" s="221"/>
      <x:c r="L170" s="225"/>
    </x:row>
    <x:row r="171" ht="24" customHeight="1">
      <x:c r="A171" s="208"/>
      <x:c r="B171" s="195"/>
      <x:c r="C171" s="195"/>
      <x:c r="D171" s="195"/>
      <x:c r="E171" s="195"/>
      <x:c r="F171" s="195"/>
      <x:c r="G171" s="195"/>
      <x:c r="H171" s="195"/>
      <x:c r="I171" s="217" t="str">
        <x:f>IFERROR(H171/G171,"")</x:f>
      </x:c>
      <x:c r="J171" s="221" t="str">
        <x:v>Planned</x:v>
      </x:c>
      <x:c r="K171" s="221"/>
      <x:c r="L171" s="225"/>
    </x:row>
    <x:row r="172" ht="24" customHeight="1">
      <x:c r="A172" s="208"/>
      <x:c r="B172" s="195"/>
      <x:c r="C172" s="195"/>
      <x:c r="D172" s="195"/>
      <x:c r="E172" s="195"/>
      <x:c r="F172" s="195"/>
      <x:c r="G172" s="195"/>
      <x:c r="H172" s="195"/>
      <x:c r="I172" s="217" t="str">
        <x:f>IFERROR(H172/G172,"")</x:f>
      </x:c>
      <x:c r="J172" s="221" t="str">
        <x:v>Planned</x:v>
      </x:c>
      <x:c r="K172" s="221"/>
      <x:c r="L172" s="225"/>
    </x:row>
    <x:row r="173" ht="24" customHeight="1">
      <x:c r="A173" s="208"/>
      <x:c r="B173" s="195"/>
      <x:c r="C173" s="195"/>
      <x:c r="D173" s="195"/>
      <x:c r="E173" s="195"/>
      <x:c r="F173" s="195"/>
      <x:c r="G173" s="195"/>
      <x:c r="H173" s="195"/>
      <x:c r="I173" s="217" t="str">
        <x:f>IFERROR(H173/G173,"")</x:f>
      </x:c>
      <x:c r="J173" s="221" t="str">
        <x:v>Planned</x:v>
      </x:c>
      <x:c r="K173" s="221"/>
      <x:c r="L173" s="225"/>
    </x:row>
    <x:row r="174" ht="24" customHeight="1">
      <x:c r="A174" s="208"/>
      <x:c r="B174" s="195"/>
      <x:c r="C174" s="195"/>
      <x:c r="D174" s="195"/>
      <x:c r="E174" s="195"/>
      <x:c r="F174" s="195"/>
      <x:c r="G174" s="195"/>
      <x:c r="H174" s="195"/>
      <x:c r="I174" s="217" t="str">
        <x:f>IFERROR(H174/G174,"")</x:f>
      </x:c>
      <x:c r="J174" s="221" t="str">
        <x:v>Planned</x:v>
      </x:c>
      <x:c r="K174" s="221"/>
      <x:c r="L174" s="225"/>
    </x:row>
    <x:row r="175" ht="24" customHeight="1">
      <x:c r="A175" s="208"/>
      <x:c r="B175" s="195"/>
      <x:c r="C175" s="195"/>
      <x:c r="D175" s="195"/>
      <x:c r="E175" s="195"/>
      <x:c r="F175" s="195"/>
      <x:c r="G175" s="195"/>
      <x:c r="H175" s="195"/>
      <x:c r="I175" s="217" t="str">
        <x:f>IFERROR(H175/G175,"")</x:f>
      </x:c>
      <x:c r="J175" s="221" t="str">
        <x:v>Planned</x:v>
      </x:c>
      <x:c r="K175" s="221"/>
      <x:c r="L175" s="225"/>
    </x:row>
    <x:row r="176" ht="24" customHeight="1">
      <x:c r="A176" s="208"/>
      <x:c r="B176" s="195"/>
      <x:c r="C176" s="195"/>
      <x:c r="D176" s="195"/>
      <x:c r="E176" s="195"/>
      <x:c r="F176" s="195"/>
      <x:c r="G176" s="195"/>
      <x:c r="H176" s="195"/>
      <x:c r="I176" s="217" t="str">
        <x:f>IFERROR(H176/G176,"")</x:f>
      </x:c>
      <x:c r="J176" s="221" t="str">
        <x:v>Planned</x:v>
      </x:c>
      <x:c r="K176" s="221"/>
      <x:c r="L176" s="225"/>
    </x:row>
    <x:row r="177" ht="24" customHeight="1">
      <x:c r="A177" s="208"/>
      <x:c r="B177" s="195"/>
      <x:c r="C177" s="195"/>
      <x:c r="D177" s="195"/>
      <x:c r="E177" s="195"/>
      <x:c r="F177" s="195"/>
      <x:c r="G177" s="195"/>
      <x:c r="H177" s="195"/>
      <x:c r="I177" s="217" t="str">
        <x:f>IFERROR(H177/G177,"")</x:f>
      </x:c>
      <x:c r="J177" s="221" t="str">
        <x:v>Planned</x:v>
      </x:c>
      <x:c r="K177" s="221"/>
      <x:c r="L177" s="225"/>
    </x:row>
    <x:row r="178" ht="24" customHeight="1">
      <x:c r="A178" s="208"/>
      <x:c r="B178" s="195"/>
      <x:c r="C178" s="195"/>
      <x:c r="D178" s="195"/>
      <x:c r="E178" s="195"/>
      <x:c r="F178" s="195"/>
      <x:c r="G178" s="195"/>
      <x:c r="H178" s="195"/>
      <x:c r="I178" s="217" t="str">
        <x:f>IFERROR(H178/G178,"")</x:f>
      </x:c>
      <x:c r="J178" s="221" t="str">
        <x:v>Planned</x:v>
      </x:c>
      <x:c r="K178" s="221"/>
      <x:c r="L178" s="225"/>
    </x:row>
    <x:row r="179" ht="24" customHeight="1">
      <x:c r="A179" s="208"/>
      <x:c r="B179" s="195"/>
      <x:c r="C179" s="195"/>
      <x:c r="D179" s="195"/>
      <x:c r="E179" s="195"/>
      <x:c r="F179" s="195"/>
      <x:c r="G179" s="195"/>
      <x:c r="H179" s="195"/>
      <x:c r="I179" s="217" t="str">
        <x:f>IFERROR(H179/G179,"")</x:f>
      </x:c>
      <x:c r="J179" s="221" t="str">
        <x:v>Planned</x:v>
      </x:c>
      <x:c r="K179" s="221"/>
      <x:c r="L179" s="225"/>
    </x:row>
    <x:row r="180" ht="24" customHeight="1">
      <x:c r="A180" s="208"/>
      <x:c r="B180" s="195"/>
      <x:c r="C180" s="195"/>
      <x:c r="D180" s="195"/>
      <x:c r="E180" s="195"/>
      <x:c r="F180" s="195"/>
      <x:c r="G180" s="195"/>
      <x:c r="H180" s="195"/>
      <x:c r="I180" s="217" t="str">
        <x:f>IFERROR(H180/G180,"")</x:f>
      </x:c>
      <x:c r="J180" s="221" t="str">
        <x:v>Planned</x:v>
      </x:c>
      <x:c r="K180" s="221"/>
      <x:c r="L180" s="225"/>
    </x:row>
    <x:row r="181" ht="24" customHeight="1">
      <x:c r="A181" s="208"/>
      <x:c r="B181" s="195"/>
      <x:c r="C181" s="195"/>
      <x:c r="D181" s="195"/>
      <x:c r="E181" s="195"/>
      <x:c r="F181" s="195"/>
      <x:c r="G181" s="195"/>
      <x:c r="H181" s="195"/>
      <x:c r="I181" s="217" t="str">
        <x:f>IFERROR(H181/G181,"")</x:f>
      </x:c>
      <x:c r="J181" s="221" t="str">
        <x:v>Planned</x:v>
      </x:c>
      <x:c r="K181" s="221"/>
      <x:c r="L181" s="225"/>
    </x:row>
    <x:row r="182" ht="24" customHeight="1">
      <x:c r="A182" s="208"/>
      <x:c r="B182" s="195"/>
      <x:c r="C182" s="195"/>
      <x:c r="D182" s="195"/>
      <x:c r="E182" s="195"/>
      <x:c r="F182" s="195"/>
      <x:c r="G182" s="195"/>
      <x:c r="H182" s="195"/>
      <x:c r="I182" s="217" t="str">
        <x:f>IFERROR(H182/G182,"")</x:f>
      </x:c>
      <x:c r="J182" s="221" t="str">
        <x:v>Planned</x:v>
      </x:c>
      <x:c r="K182" s="221"/>
      <x:c r="L182" s="225"/>
    </x:row>
    <x:row r="183" ht="24" customHeight="1">
      <x:c r="A183" s="208"/>
      <x:c r="B183" s="195"/>
      <x:c r="C183" s="195"/>
      <x:c r="D183" s="195"/>
      <x:c r="E183" s="195"/>
      <x:c r="F183" s="195"/>
      <x:c r="G183" s="195"/>
      <x:c r="H183" s="195"/>
      <x:c r="I183" s="217" t="str">
        <x:f>IFERROR(H183/G183,"")</x:f>
      </x:c>
      <x:c r="J183" s="221" t="str">
        <x:v>Planned</x:v>
      </x:c>
      <x:c r="K183" s="221"/>
      <x:c r="L183" s="225"/>
    </x:row>
    <x:row r="184" ht="24" customHeight="1">
      <x:c r="A184" s="208"/>
      <x:c r="B184" s="195"/>
      <x:c r="C184" s="195"/>
      <x:c r="D184" s="195"/>
      <x:c r="E184" s="195"/>
      <x:c r="F184" s="195"/>
      <x:c r="G184" s="195"/>
      <x:c r="H184" s="195"/>
      <x:c r="I184" s="217" t="str">
        <x:f>IFERROR(H184/G184,"")</x:f>
      </x:c>
      <x:c r="J184" s="221" t="str">
        <x:v>Planned</x:v>
      </x:c>
      <x:c r="K184" s="221"/>
      <x:c r="L184" s="225"/>
    </x:row>
    <x:row r="185" ht="24" customHeight="1">
      <x:c r="A185" s="208"/>
      <x:c r="B185" s="195"/>
      <x:c r="C185" s="195"/>
      <x:c r="D185" s="195"/>
      <x:c r="E185" s="195"/>
      <x:c r="F185" s="195"/>
      <x:c r="G185" s="195"/>
      <x:c r="H185" s="195"/>
      <x:c r="I185" s="217" t="str">
        <x:f>IFERROR(H185/G185,"")</x:f>
      </x:c>
      <x:c r="J185" s="221" t="str">
        <x:v>Planned</x:v>
      </x:c>
      <x:c r="K185" s="221"/>
      <x:c r="L185" s="225"/>
    </x:row>
    <x:row r="186" ht="24" customHeight="1">
      <x:c r="A186" s="208"/>
      <x:c r="B186" s="195"/>
      <x:c r="C186" s="195"/>
      <x:c r="D186" s="195"/>
      <x:c r="E186" s="195"/>
      <x:c r="F186" s="195"/>
      <x:c r="G186" s="195"/>
      <x:c r="H186" s="195"/>
      <x:c r="I186" s="217" t="str">
        <x:f>IFERROR(H186/G186,"")</x:f>
      </x:c>
      <x:c r="J186" s="221" t="str">
        <x:v>Planned</x:v>
      </x:c>
      <x:c r="K186" s="221"/>
      <x:c r="L186" s="225"/>
    </x:row>
    <x:row r="187" ht="24" customHeight="1">
      <x:c r="A187" s="208"/>
      <x:c r="B187" s="195"/>
      <x:c r="C187" s="195"/>
      <x:c r="D187" s="195"/>
      <x:c r="E187" s="195"/>
      <x:c r="F187" s="195"/>
      <x:c r="G187" s="195"/>
      <x:c r="H187" s="195"/>
      <x:c r="I187" s="217" t="str">
        <x:f>IFERROR(H187/G187,"")</x:f>
      </x:c>
      <x:c r="J187" s="221" t="str">
        <x:v>Planned</x:v>
      </x:c>
      <x:c r="K187" s="221"/>
      <x:c r="L187" s="225"/>
    </x:row>
    <x:row r="188" ht="24" customHeight="1">
      <x:c r="A188" s="208"/>
      <x:c r="B188" s="195"/>
      <x:c r="C188" s="195"/>
      <x:c r="D188" s="195"/>
      <x:c r="E188" s="195"/>
      <x:c r="F188" s="195"/>
      <x:c r="G188" s="195"/>
      <x:c r="H188" s="195"/>
      <x:c r="I188" s="217" t="str">
        <x:f>IFERROR(H188/G188,"")</x:f>
      </x:c>
      <x:c r="J188" s="221" t="str">
        <x:v>Planned</x:v>
      </x:c>
      <x:c r="K188" s="221"/>
      <x:c r="L188" s="225"/>
    </x:row>
    <x:row r="189" ht="24" customHeight="1">
      <x:c r="A189" s="208"/>
      <x:c r="B189" s="195"/>
      <x:c r="C189" s="195"/>
      <x:c r="D189" s="195"/>
      <x:c r="E189" s="195"/>
      <x:c r="F189" s="195"/>
      <x:c r="G189" s="195"/>
      <x:c r="H189" s="195"/>
      <x:c r="I189" s="217" t="str">
        <x:f>IFERROR(H189/G189,"")</x:f>
      </x:c>
      <x:c r="J189" s="221" t="str">
        <x:v>Planned</x:v>
      </x:c>
      <x:c r="K189" s="221"/>
      <x:c r="L189" s="225"/>
    </x:row>
    <x:row r="190" ht="24" customHeight="1">
      <x:c r="A190" s="208"/>
      <x:c r="B190" s="195"/>
      <x:c r="C190" s="195"/>
      <x:c r="D190" s="195"/>
      <x:c r="E190" s="195"/>
      <x:c r="F190" s="195"/>
      <x:c r="G190" s="195"/>
      <x:c r="H190" s="195"/>
      <x:c r="I190" s="217" t="str">
        <x:f>IFERROR(H190/G190,"")</x:f>
      </x:c>
      <x:c r="J190" s="221" t="str">
        <x:v>Planned</x:v>
      </x:c>
      <x:c r="K190" s="221"/>
      <x:c r="L190" s="225"/>
    </x:row>
    <x:row r="191" ht="24" customHeight="1">
      <x:c r="A191" s="208"/>
      <x:c r="B191" s="195"/>
      <x:c r="C191" s="195"/>
      <x:c r="D191" s="195"/>
      <x:c r="E191" s="195"/>
      <x:c r="F191" s="195"/>
      <x:c r="G191" s="195"/>
      <x:c r="H191" s="195"/>
      <x:c r="I191" s="217" t="str">
        <x:f>IFERROR(H191/G191,"")</x:f>
      </x:c>
      <x:c r="J191" s="221" t="str">
        <x:v>Planned</x:v>
      </x:c>
      <x:c r="K191" s="221"/>
      <x:c r="L191" s="225"/>
    </x:row>
    <x:row r="192" ht="24" customHeight="1">
      <x:c r="A192" s="208"/>
      <x:c r="B192" s="195"/>
      <x:c r="C192" s="195"/>
      <x:c r="D192" s="195"/>
      <x:c r="E192" s="195"/>
      <x:c r="F192" s="195"/>
      <x:c r="G192" s="195"/>
      <x:c r="H192" s="195"/>
      <x:c r="I192" s="217" t="str">
        <x:f>IFERROR(H192/G192,"")</x:f>
      </x:c>
      <x:c r="J192" s="221" t="str">
        <x:v>Planned</x:v>
      </x:c>
      <x:c r="K192" s="221"/>
      <x:c r="L192" s="225"/>
    </x:row>
    <x:row r="193" ht="24" customHeight="1">
      <x:c r="A193" s="208"/>
      <x:c r="B193" s="195"/>
      <x:c r="C193" s="195"/>
      <x:c r="D193" s="195"/>
      <x:c r="E193" s="195"/>
      <x:c r="F193" s="195"/>
      <x:c r="G193" s="195"/>
      <x:c r="H193" s="195"/>
      <x:c r="I193" s="217" t="str">
        <x:f>IFERROR(H193/G193,"")</x:f>
      </x:c>
      <x:c r="J193" s="221" t="str">
        <x:v>Planned</x:v>
      </x:c>
      <x:c r="K193" s="221"/>
      <x:c r="L193" s="225"/>
    </x:row>
    <x:row r="194" ht="24" customHeight="1">
      <x:c r="A194" s="208"/>
      <x:c r="B194" s="195"/>
      <x:c r="C194" s="195"/>
      <x:c r="D194" s="195"/>
      <x:c r="E194" s="195"/>
      <x:c r="F194" s="195"/>
      <x:c r="G194" s="195"/>
      <x:c r="H194" s="195"/>
      <x:c r="I194" s="217" t="str">
        <x:f>IFERROR(H194/G194,"")</x:f>
      </x:c>
      <x:c r="J194" s="221" t="str">
        <x:v>Planned</x:v>
      </x:c>
      <x:c r="K194" s="221"/>
      <x:c r="L194" s="225"/>
    </x:row>
    <x:row r="195" ht="24" customHeight="1">
      <x:c r="A195" s="208"/>
      <x:c r="B195" s="195"/>
      <x:c r="C195" s="195"/>
      <x:c r="D195" s="195"/>
      <x:c r="E195" s="195"/>
      <x:c r="F195" s="195"/>
      <x:c r="G195" s="195"/>
      <x:c r="H195" s="195"/>
      <x:c r="I195" s="217" t="str">
        <x:f>IFERROR(H195/G195,"")</x:f>
      </x:c>
      <x:c r="J195" s="221" t="str">
        <x:v>Planned</x:v>
      </x:c>
      <x:c r="K195" s="221"/>
      <x:c r="L195" s="225"/>
    </x:row>
    <x:row r="196" ht="24" customHeight="1">
      <x:c r="A196" s="208"/>
      <x:c r="B196" s="195"/>
      <x:c r="C196" s="195"/>
      <x:c r="D196" s="195"/>
      <x:c r="E196" s="195"/>
      <x:c r="F196" s="195"/>
      <x:c r="G196" s="195"/>
      <x:c r="H196" s="195"/>
      <x:c r="I196" s="217" t="str">
        <x:f>IFERROR(H196/G196,"")</x:f>
      </x:c>
      <x:c r="J196" s="221" t="str">
        <x:v>Planned</x:v>
      </x:c>
      <x:c r="K196" s="221"/>
      <x:c r="L196" s="225"/>
    </x:row>
    <x:row r="197" ht="24" customHeight="1">
      <x:c r="A197" s="208"/>
      <x:c r="B197" s="195"/>
      <x:c r="C197" s="195"/>
      <x:c r="D197" s="195"/>
      <x:c r="E197" s="195"/>
      <x:c r="F197" s="195"/>
      <x:c r="G197" s="195"/>
      <x:c r="H197" s="195"/>
      <x:c r="I197" s="217" t="str">
        <x:f>IFERROR(H197/G197,"")</x:f>
      </x:c>
      <x:c r="J197" s="221" t="str">
        <x:v>Planned</x:v>
      </x:c>
      <x:c r="K197" s="221"/>
      <x:c r="L197" s="225"/>
    </x:row>
    <x:row r="198" ht="24" customHeight="1">
      <x:c r="A198" s="208"/>
      <x:c r="B198" s="195"/>
      <x:c r="C198" s="195"/>
      <x:c r="D198" s="195"/>
      <x:c r="E198" s="195"/>
      <x:c r="F198" s="195"/>
      <x:c r="G198" s="195"/>
      <x:c r="H198" s="195"/>
      <x:c r="I198" s="217" t="str">
        <x:f>IFERROR(H198/G198,"")</x:f>
      </x:c>
      <x:c r="J198" s="221" t="str">
        <x:v>Planned</x:v>
      </x:c>
      <x:c r="K198" s="221"/>
      <x:c r="L198" s="225"/>
    </x:row>
    <x:row r="199" ht="24" customHeight="1">
      <x:c r="A199" s="208"/>
      <x:c r="B199" s="195"/>
      <x:c r="C199" s="195"/>
      <x:c r="D199" s="195"/>
      <x:c r="E199" s="195"/>
      <x:c r="F199" s="195"/>
      <x:c r="G199" s="195"/>
      <x:c r="H199" s="195"/>
      <x:c r="I199" s="217" t="str">
        <x:f>IFERROR(H199/G199,"")</x:f>
      </x:c>
      <x:c r="J199" s="221" t="str">
        <x:v>Planned</x:v>
      </x:c>
      <x:c r="K199" s="221"/>
      <x:c r="L199" s="225"/>
    </x:row>
    <x:row r="200" ht="24" customHeight="1">
      <x:c r="A200" s="208"/>
      <x:c r="B200" s="195"/>
      <x:c r="C200" s="195"/>
      <x:c r="D200" s="195"/>
      <x:c r="E200" s="195"/>
      <x:c r="F200" s="195"/>
      <x:c r="G200" s="195"/>
      <x:c r="H200" s="195"/>
      <x:c r="I200" s="217" t="str">
        <x:f>IFERROR(H200/G200,"")</x:f>
      </x:c>
      <x:c r="J200" s="221" t="str">
        <x:v>Planned</x:v>
      </x:c>
      <x:c r="K200" s="221"/>
      <x:c r="L200" s="225"/>
    </x:row>
    <x:row r="201" ht="24" customHeight="1">
      <x:c r="A201" s="208"/>
      <x:c r="B201" s="195"/>
      <x:c r="C201" s="195"/>
      <x:c r="D201" s="195"/>
      <x:c r="E201" s="195"/>
      <x:c r="F201" s="195"/>
      <x:c r="G201" s="195"/>
      <x:c r="H201" s="195"/>
      <x:c r="I201" s="217" t="str">
        <x:f>IFERROR(H201/G201,"")</x:f>
      </x:c>
      <x:c r="J201" s="221" t="str">
        <x:v>Planned</x:v>
      </x:c>
      <x:c r="K201" s="221"/>
      <x:c r="L201" s="225"/>
    </x:row>
  </x:sheetData>
  <x:conditionalFormatting sqref="J2:J201">
    <x:cfRule type="expression" dxfId="2" priority="1">
      <x:formula>J2="Done"</x:formula>
    </x:cfRule>
    <x:cfRule type="expression" dxfId="3" priority="2">
      <x:formula>J2="Skipped"</x:formula>
    </x:cfRule>
    <x:cfRule type="expression" dxfId="4" priority="3">
      <x:formula>J2="In Progress"</x:formula>
    </x:cfRule>
  </x:conditionalFormatting>
  <x:dataValidations count="4">
    <x:dataValidation type="list" sqref="B2:B201">
      <x:formula1>"1,2,3,4,5,6,7,8,9,10,11,12,13,14,15,16,17,18,19,20,21,22,23,24"</x:formula1>
    </x:dataValidation>
    <x:dataValidation type="list" sqref="C2:C201">
      <x:formula1>"Quantitative Aptitude,Logical Reasoning,Abstract Reasoning,VARC Maintenance,Full Mock / Review,Revision / Error Log"</x:formula1>
    </x:dataValidation>
    <x:dataValidation type="list" sqref="J2:J201">
      <x:formula1>"Planned,In Progress,Done,Skipped"</x:formula1>
    </x:dataValidation>
    <x:dataValidation type="list" sqref="K2:K201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4" hidden="0" customWidth="1"/>
    <x:col min="9" max="9" width="15" hidden="0" customWidth="1"/>
    <x:col min="10" max="10" width="14" hidden="0" customWidth="1"/>
    <x:col min="11" max="11" width="34" hidden="0" customWidth="1"/>
    <x:col min="12" max="12" width="34" hidden="0" customWidth="1"/>
    <x:col min="13" max="13" width="16" hidden="0" customWidth="1"/>
  </x:cols>
  <x:sheetData>
    <x:row r="1">
      <x:c r="A1" s="73" t="str">
        <x:v>Date</x:v>
      </x:c>
      <x:c r="B1" s="73" t="str">
        <x:v>Test Name</x:v>
      </x:c>
      <x:c r="C1" s="73" t="str">
        <x:v>Type</x:v>
      </x:c>
      <x:c r="D1" s="73" t="str">
        <x:v>Score</x:v>
      </x:c>
      <x:c r="E1" s="73" t="str">
        <x:v>Max Score</x:v>
      </x:c>
      <x:c r="F1" s="73" t="str">
        <x:v>Score %</x:v>
      </x:c>
      <x:c r="G1" s="73" t="str">
        <x:v>Time (min)</x:v>
      </x:c>
      <x:c r="H1" s="73" t="str">
        <x:v>Quant ( /50)</x:v>
      </x:c>
      <x:c r="I1" s="73" t="str">
        <x:v>LR/AR ( /100)</x:v>
      </x:c>
      <x:c r="J1" s="73" t="str">
        <x:v>VARC ( /50)</x:v>
      </x:c>
      <x:c r="K1" s="73" t="str">
        <x:v>Top 3 Errors</x:v>
      </x:c>
      <x:c r="L1" s="73" t="str">
        <x:v>Fix Before Next Test</x:v>
      </x:c>
      <x:c r="M1" s="73" t="str">
        <x:v>Status</x:v>
      </x:c>
    </x:row>
    <x:row r="2" ht="30" customHeight="1">
      <x:c r="A2" s="231"/>
      <x:c r="B2" s="232" t="str">
        <x:v>Baseline Diagnostic</x:v>
      </x:c>
      <x:c r="C2" s="232" t="str">
        <x:v>Diagnostic</x:v>
      </x:c>
      <x:c r="D2" s="232"/>
      <x:c r="E2" s="232" t="n">
        <x:v>200</x:v>
      </x:c>
      <x:c r="F2" s="217" t="n">
        <x:f>IFERROR(D2/E2,"")</x:f>
        <x:v>0</x:v>
      </x:c>
      <x:c r="G2" s="238"/>
      <x:c r="H2" s="238"/>
      <x:c r="I2" s="238"/>
      <x:c r="J2" s="238"/>
      <x:c r="K2" s="238"/>
      <x:c r="L2" s="238"/>
      <x:c r="M2" s="238" t="str">
        <x:v>Not Started</x:v>
      </x:c>
    </x:row>
    <x:row r="3" ht="30" customHeight="1">
      <x:c r="A3" s="231"/>
      <x:c r="B3" s="232" t="str">
        <x:v>Mini Test 1</x:v>
      </x:c>
      <x:c r="C3" s="232" t="str">
        <x:v>Mixed sectional</x:v>
      </x:c>
      <x:c r="D3" s="232"/>
      <x:c r="E3" s="232" t="n">
        <x:v>200</x:v>
      </x:c>
      <x:c r="F3" s="217" t="n">
        <x:f>IFERROR(D3/E3,"")</x:f>
        <x:v>0</x:v>
      </x:c>
      <x:c r="G3" s="238"/>
      <x:c r="H3" s="238"/>
      <x:c r="I3" s="238"/>
      <x:c r="J3" s="238"/>
      <x:c r="K3" s="238"/>
      <x:c r="L3" s="238"/>
      <x:c r="M3" s="238" t="str">
        <x:v>Not Started</x:v>
      </x:c>
    </x:row>
    <x:row r="4" ht="30" customHeight="1">
      <x:c r="A4" s="231"/>
      <x:c r="B4" s="232" t="str">
        <x:v>Mini Test 2</x:v>
      </x:c>
      <x:c r="C4" s="232" t="str">
        <x:v>Quant sectional</x:v>
      </x:c>
      <x:c r="D4" s="232"/>
      <x:c r="E4" s="232" t="n">
        <x:v>200</x:v>
      </x:c>
      <x:c r="F4" s="217" t="n">
        <x:f>IFERROR(D4/E4,"")</x:f>
        <x:v>0</x:v>
      </x:c>
      <x:c r="G4" s="238"/>
      <x:c r="H4" s="238"/>
      <x:c r="I4" s="238"/>
      <x:c r="J4" s="238"/>
      <x:c r="K4" s="238"/>
      <x:c r="L4" s="238"/>
      <x:c r="M4" s="238" t="str">
        <x:v>Not Started</x:v>
      </x:c>
    </x:row>
    <x:row r="5" ht="30" customHeight="1">
      <x:c r="A5" s="231"/>
      <x:c r="B5" s="232" t="str">
        <x:v>Mini Test 3</x:v>
      </x:c>
      <x:c r="C5" s="232" t="str">
        <x:v>LR/AR sectional</x:v>
      </x:c>
      <x:c r="D5" s="232"/>
      <x:c r="E5" s="232" t="n">
        <x:v>200</x:v>
      </x:c>
      <x:c r="F5" s="217" t="n">
        <x:f>IFERROR(D5/E5,"")</x:f>
        <x:v>0</x:v>
      </x:c>
      <x:c r="G5" s="238"/>
      <x:c r="H5" s="238"/>
      <x:c r="I5" s="238"/>
      <x:c r="J5" s="238"/>
      <x:c r="K5" s="238"/>
      <x:c r="L5" s="238"/>
      <x:c r="M5" s="238" t="str">
        <x:v>Not Started</x:v>
      </x:c>
    </x:row>
    <x:row r="6" ht="30" customHeight="1">
      <x:c r="A6" s="231"/>
      <x:c r="B6" s="232" t="str">
        <x:v>Full Mock 1</x:v>
      </x:c>
      <x:c r="C6" s="232" t="str">
        <x:v>Full mock</x:v>
      </x:c>
      <x:c r="D6" s="232"/>
      <x:c r="E6" s="232" t="n">
        <x:v>200</x:v>
      </x:c>
      <x:c r="F6" s="217" t="n">
        <x:f>IFERROR(D6/E6,"")</x:f>
        <x:v>0</x:v>
      </x:c>
      <x:c r="G6" s="238"/>
      <x:c r="H6" s="238"/>
      <x:c r="I6" s="238"/>
      <x:c r="J6" s="238"/>
      <x:c r="K6" s="238"/>
      <x:c r="L6" s="238"/>
      <x:c r="M6" s="238" t="str">
        <x:v>Not Started</x:v>
      </x:c>
    </x:row>
    <x:row r="7" ht="30" customHeight="1">
      <x:c r="A7" s="231"/>
      <x:c r="B7" s="232" t="str">
        <x:v>Full Mock 2</x:v>
      </x:c>
      <x:c r="C7" s="232" t="str">
        <x:v>Full mock</x:v>
      </x:c>
      <x:c r="D7" s="232"/>
      <x:c r="E7" s="232" t="n">
        <x:v>200</x:v>
      </x:c>
      <x:c r="F7" s="217" t="n">
        <x:f>IFERROR(D7/E7,"")</x:f>
        <x:v>0</x:v>
      </x:c>
      <x:c r="G7" s="238"/>
      <x:c r="H7" s="238"/>
      <x:c r="I7" s="238"/>
      <x:c r="J7" s="238"/>
      <x:c r="K7" s="238"/>
      <x:c r="L7" s="238"/>
      <x:c r="M7" s="238" t="str">
        <x:v>Not Started</x:v>
      </x:c>
    </x:row>
    <x:row r="8" ht="30" customHeight="1">
      <x:c r="A8" s="231"/>
      <x:c r="B8" s="232" t="str">
        <x:v>Full Mock 3</x:v>
      </x:c>
      <x:c r="C8" s="232" t="str">
        <x:v>Full mock</x:v>
      </x:c>
      <x:c r="D8" s="232"/>
      <x:c r="E8" s="232" t="n">
        <x:v>200</x:v>
      </x:c>
      <x:c r="F8" s="217" t="n">
        <x:f>IFERROR(D8/E8,"")</x:f>
        <x:v>0</x:v>
      </x:c>
      <x:c r="G8" s="238"/>
      <x:c r="H8" s="238"/>
      <x:c r="I8" s="238"/>
      <x:c r="J8" s="238"/>
      <x:c r="K8" s="238"/>
      <x:c r="L8" s="238"/>
      <x:c r="M8" s="238" t="str">
        <x:v>Not Started</x:v>
      </x:c>
    </x:row>
    <x:row r="9" ht="30" customHeight="1">
      <x:c r="A9" s="231"/>
      <x:c r="B9" s="232" t="str">
        <x:v>Full Mock 4</x:v>
      </x:c>
      <x:c r="C9" s="232" t="str">
        <x:v>Full mock</x:v>
      </x:c>
      <x:c r="D9" s="232"/>
      <x:c r="E9" s="232" t="n">
        <x:v>200</x:v>
      </x:c>
      <x:c r="F9" s="217" t="n">
        <x:f>IFERROR(D9/E9,"")</x:f>
        <x:v>0</x:v>
      </x:c>
      <x:c r="G9" s="238"/>
      <x:c r="H9" s="238"/>
      <x:c r="I9" s="238"/>
      <x:c r="J9" s="238"/>
      <x:c r="K9" s="238"/>
      <x:c r="L9" s="238"/>
      <x:c r="M9" s="238" t="str">
        <x:v>Not Started</x:v>
      </x:c>
    </x:row>
    <x:row r="10" ht="30" customHeight="1">
      <x:c r="A10" s="231"/>
      <x:c r="B10" s="232" t="str">
        <x:v>Full Mock 5</x:v>
      </x:c>
      <x:c r="C10" s="232" t="str">
        <x:v>Full mock</x:v>
      </x:c>
      <x:c r="D10" s="232"/>
      <x:c r="E10" s="232" t="n">
        <x:v>200</x:v>
      </x:c>
      <x:c r="F10" s="217" t="n">
        <x:f>IFERROR(D10/E10,"")</x:f>
        <x:v>0</x:v>
      </x:c>
      <x:c r="G10" s="238"/>
      <x:c r="H10" s="238"/>
      <x:c r="I10" s="238"/>
      <x:c r="J10" s="238"/>
      <x:c r="K10" s="238"/>
      <x:c r="L10" s="238"/>
      <x:c r="M10" s="238" t="str">
        <x:v>Not Started</x:v>
      </x:c>
    </x:row>
    <x:row r="11" ht="30" customHeight="1">
      <x:c r="A11" s="231"/>
      <x:c r="B11" s="232" t="str">
        <x:v>Full Mock 6</x:v>
      </x:c>
      <x:c r="C11" s="232" t="str">
        <x:v>Full mock</x:v>
      </x:c>
      <x:c r="D11" s="232"/>
      <x:c r="E11" s="232" t="n">
        <x:v>200</x:v>
      </x:c>
      <x:c r="F11" s="217" t="n">
        <x:f>IFERROR(D11/E11,"")</x:f>
        <x:v>0</x:v>
      </x:c>
      <x:c r="G11" s="238"/>
      <x:c r="H11" s="238"/>
      <x:c r="I11" s="238"/>
      <x:c r="J11" s="238"/>
      <x:c r="K11" s="238"/>
      <x:c r="L11" s="238"/>
      <x:c r="M11" s="238" t="str">
        <x:v>Not Started</x:v>
      </x:c>
    </x:row>
    <x:row r="12" ht="30" customHeight="1">
      <x:c r="A12" s="231"/>
      <x:c r="B12" s="232" t="str">
        <x:v>Full Mock 7</x:v>
      </x:c>
      <x:c r="C12" s="232" t="str">
        <x:v>Full mock</x:v>
      </x:c>
      <x:c r="D12" s="232"/>
      <x:c r="E12" s="232" t="n">
        <x:v>200</x:v>
      </x:c>
      <x:c r="F12" s="217" t="n">
        <x:f>IFERROR(D12/E12,"")</x:f>
        <x:v>0</x:v>
      </x:c>
      <x:c r="G12" s="238"/>
      <x:c r="H12" s="238"/>
      <x:c r="I12" s="238"/>
      <x:c r="J12" s="238"/>
      <x:c r="K12" s="238"/>
      <x:c r="L12" s="238"/>
      <x:c r="M12" s="238" t="str">
        <x:v>Not Started</x:v>
      </x:c>
    </x:row>
    <x:row r="13" ht="30" customHeight="1">
      <x:c r="A13" s="231"/>
      <x:c r="B13" s="232" t="str">
        <x:v>Full Mock 8</x:v>
      </x:c>
      <x:c r="C13" s="232" t="str">
        <x:v>Full mock</x:v>
      </x:c>
      <x:c r="D13" s="232"/>
      <x:c r="E13" s="232" t="n">
        <x:v>200</x:v>
      </x:c>
      <x:c r="F13" s="217" t="n">
        <x:f>IFERROR(D13/E13,"")</x:f>
        <x:v>0</x:v>
      </x:c>
      <x:c r="G13" s="238"/>
      <x:c r="H13" s="238"/>
      <x:c r="I13" s="238"/>
      <x:c r="J13" s="238"/>
      <x:c r="K13" s="238"/>
      <x:c r="L13" s="238"/>
      <x:c r="M13" s="238" t="str">
        <x:v>Not Started</x:v>
      </x:c>
    </x:row>
    <x:row r="14" ht="30" customHeight="1">
      <x:c r="A14" s="231"/>
      <x:c r="B14" s="232" t="str">
        <x:v>Full Mock 9</x:v>
      </x:c>
      <x:c r="C14" s="232" t="str">
        <x:v>Full mock</x:v>
      </x:c>
      <x:c r="D14" s="232"/>
      <x:c r="E14" s="232" t="n">
        <x:v>200</x:v>
      </x:c>
      <x:c r="F14" s="217" t="n">
        <x:f>IFERROR(D14/E14,"")</x:f>
        <x:v>0</x:v>
      </x:c>
      <x:c r="G14" s="238"/>
      <x:c r="H14" s="238"/>
      <x:c r="I14" s="238"/>
      <x:c r="J14" s="238"/>
      <x:c r="K14" s="238"/>
      <x:c r="L14" s="238"/>
      <x:c r="M14" s="238" t="str">
        <x:v>Not Started</x:v>
      </x:c>
    </x:row>
    <x:row r="15" ht="30" customHeight="1">
      <x:c r="A15" s="231"/>
      <x:c r="B15" s="232" t="str">
        <x:v>Full Mock 10</x:v>
      </x:c>
      <x:c r="C15" s="232" t="str">
        <x:v>Full mock</x:v>
      </x:c>
      <x:c r="D15" s="232"/>
      <x:c r="E15" s="232" t="n">
        <x:v>200</x:v>
      </x:c>
      <x:c r="F15" s="217" t="n">
        <x:f>IFERROR(D15/E15,"")</x:f>
        <x:v>0</x:v>
      </x:c>
      <x:c r="G15" s="238"/>
      <x:c r="H15" s="238"/>
      <x:c r="I15" s="238"/>
      <x:c r="J15" s="238"/>
      <x:c r="K15" s="238"/>
      <x:c r="L15" s="238"/>
      <x:c r="M15" s="238" t="str">
        <x:v>Not Started</x:v>
      </x:c>
    </x:row>
    <x:row r="16" ht="30" customHeight="1">
      <x:c r="A16" s="231"/>
      <x:c r="B16" s="232" t="str">
        <x:v>Full Mock 11</x:v>
      </x:c>
      <x:c r="C16" s="232" t="str">
        <x:v>Full mock</x:v>
      </x:c>
      <x:c r="D16" s="232"/>
      <x:c r="E16" s="232" t="n">
        <x:v>200</x:v>
      </x:c>
      <x:c r="F16" s="217" t="n">
        <x:f>IFERROR(D16/E16,"")</x:f>
        <x:v>0</x:v>
      </x:c>
      <x:c r="G16" s="238"/>
      <x:c r="H16" s="238"/>
      <x:c r="I16" s="238"/>
      <x:c r="J16" s="238"/>
      <x:c r="K16" s="238"/>
      <x:c r="L16" s="238"/>
      <x:c r="M16" s="238" t="str">
        <x:v>Not Started</x:v>
      </x:c>
    </x:row>
    <x:row r="17" ht="30" customHeight="1">
      <x:c r="A17" s="231"/>
      <x:c r="B17" s="232" t="str">
        <x:v>Full Mock 12</x:v>
      </x:c>
      <x:c r="C17" s="232" t="str">
        <x:v>Full mock</x:v>
      </x:c>
      <x:c r="D17" s="232"/>
      <x:c r="E17" s="232" t="n">
        <x:v>200</x:v>
      </x:c>
      <x:c r="F17" s="217" t="n">
        <x:f>IFERROR(D17/E17,"")</x:f>
        <x:v>0</x:v>
      </x:c>
      <x:c r="G17" s="238"/>
      <x:c r="H17" s="238"/>
      <x:c r="I17" s="238"/>
      <x:c r="J17" s="238"/>
      <x:c r="K17" s="238"/>
      <x:c r="L17" s="238"/>
      <x:c r="M17" s="238" t="str">
        <x:v>Not Started</x:v>
      </x:c>
    </x:row>
    <x:row r="18" ht="30" customHeight="1">
      <x:c r="A18" s="231"/>
      <x:c r="B18" s="232" t="str">
        <x:v>Full Mock 13</x:v>
      </x:c>
      <x:c r="C18" s="232" t="str">
        <x:v>Full mock</x:v>
      </x:c>
      <x:c r="D18" s="232"/>
      <x:c r="E18" s="232" t="n">
        <x:v>200</x:v>
      </x:c>
      <x:c r="F18" s="217" t="n">
        <x:f>IFERROR(D18/E18,"")</x:f>
        <x:v>0</x:v>
      </x:c>
      <x:c r="G18" s="238"/>
      <x:c r="H18" s="238"/>
      <x:c r="I18" s="238"/>
      <x:c r="J18" s="238"/>
      <x:c r="K18" s="238"/>
      <x:c r="L18" s="238"/>
      <x:c r="M18" s="238" t="str">
        <x:v>Not Started</x:v>
      </x:c>
    </x:row>
    <x:row r="19" ht="30" customHeight="1">
      <x:c r="A19" s="231"/>
      <x:c r="B19" s="232" t="str">
        <x:v>Full Mock 14</x:v>
      </x:c>
      <x:c r="C19" s="232" t="str">
        <x:v>Full mock</x:v>
      </x:c>
      <x:c r="D19" s="232"/>
      <x:c r="E19" s="232" t="n">
        <x:v>200</x:v>
      </x:c>
      <x:c r="F19" s="217" t="n">
        <x:f>IFERROR(D19/E19,"")</x:f>
        <x:v>0</x:v>
      </x:c>
      <x:c r="G19" s="238"/>
      <x:c r="H19" s="238"/>
      <x:c r="I19" s="238"/>
      <x:c r="J19" s="238"/>
      <x:c r="K19" s="238"/>
      <x:c r="L19" s="238"/>
      <x:c r="M19" s="238" t="str">
        <x:v>Not Started</x:v>
      </x:c>
    </x:row>
    <x:row r="20" ht="30" customHeight="1">
      <x:c r="A20" s="231"/>
      <x:c r="B20" s="232"/>
      <x:c r="C20" s="232"/>
      <x:c r="D20" s="232"/>
      <x:c r="E20" s="232" t="n">
        <x:v>200</x:v>
      </x:c>
      <x:c r="F20" s="217" t="n">
        <x:f>IFERROR(D20/E20,"")</x:f>
        <x:v>0</x:v>
      </x:c>
      <x:c r="G20" s="238"/>
      <x:c r="H20" s="238"/>
      <x:c r="I20" s="238"/>
      <x:c r="J20" s="238"/>
      <x:c r="K20" s="238"/>
      <x:c r="L20" s="238"/>
      <x:c r="M20" s="238" t="str">
        <x:v>Not Started</x:v>
      </x:c>
    </x:row>
    <x:row r="21" ht="30" customHeight="1">
      <x:c r="A21" s="231"/>
      <x:c r="B21" s="232"/>
      <x:c r="C21" s="232"/>
      <x:c r="D21" s="232"/>
      <x:c r="E21" s="232" t="n">
        <x:v>200</x:v>
      </x:c>
      <x:c r="F21" s="217" t="n">
        <x:f>IFERROR(D21/E21,"")</x:f>
        <x:v>0</x:v>
      </x:c>
      <x:c r="G21" s="238"/>
      <x:c r="H21" s="238"/>
      <x:c r="I21" s="238"/>
      <x:c r="J21" s="238"/>
      <x:c r="K21" s="238"/>
      <x:c r="L21" s="238"/>
      <x:c r="M21" s="238" t="str">
        <x:v>Not Started</x:v>
      </x:c>
    </x:row>
    <x:row r="22" ht="30" customHeight="1">
      <x:c r="A22" s="231"/>
      <x:c r="B22" s="232"/>
      <x:c r="C22" s="232"/>
      <x:c r="D22" s="232"/>
      <x:c r="E22" s="232" t="n">
        <x:v>200</x:v>
      </x:c>
      <x:c r="F22" s="217" t="n">
        <x:f>IFERROR(D22/E22,"")</x:f>
        <x:v>0</x:v>
      </x:c>
      <x:c r="G22" s="238"/>
      <x:c r="H22" s="238"/>
      <x:c r="I22" s="238"/>
      <x:c r="J22" s="238"/>
      <x:c r="K22" s="238"/>
      <x:c r="L22" s="238"/>
      <x:c r="M22" s="238" t="str">
        <x:v>Not Started</x:v>
      </x:c>
    </x:row>
    <x:row r="23" ht="30" customHeight="1">
      <x:c r="A23" s="231"/>
      <x:c r="B23" s="232"/>
      <x:c r="C23" s="232"/>
      <x:c r="D23" s="232"/>
      <x:c r="E23" s="232" t="n">
        <x:v>200</x:v>
      </x:c>
      <x:c r="F23" s="217" t="n">
        <x:f>IFERROR(D23/E23,"")</x:f>
        <x:v>0</x:v>
      </x:c>
      <x:c r="G23" s="238"/>
      <x:c r="H23" s="238"/>
      <x:c r="I23" s="238"/>
      <x:c r="J23" s="238"/>
      <x:c r="K23" s="238"/>
      <x:c r="L23" s="238"/>
      <x:c r="M23" s="238" t="str">
        <x:v>Not Started</x:v>
      </x:c>
    </x:row>
    <x:row r="24" ht="30" customHeight="1">
      <x:c r="A24" s="231"/>
      <x:c r="B24" s="232"/>
      <x:c r="C24" s="232"/>
      <x:c r="D24" s="232"/>
      <x:c r="E24" s="232" t="n">
        <x:v>200</x:v>
      </x:c>
      <x:c r="F24" s="217" t="n">
        <x:f>IFERROR(D24/E24,"")</x:f>
        <x:v>0</x:v>
      </x:c>
      <x:c r="G24" s="238"/>
      <x:c r="H24" s="238"/>
      <x:c r="I24" s="238"/>
      <x:c r="J24" s="238"/>
      <x:c r="K24" s="238"/>
      <x:c r="L24" s="238"/>
      <x:c r="M24" s="238" t="str">
        <x:v>Not Started</x:v>
      </x:c>
    </x:row>
    <x:row r="25" ht="30" customHeight="1">
      <x:c r="A25" s="231"/>
      <x:c r="B25" s="232"/>
      <x:c r="C25" s="232"/>
      <x:c r="D25" s="232"/>
      <x:c r="E25" s="232" t="n">
        <x:v>200</x:v>
      </x:c>
      <x:c r="F25" s="217" t="n">
        <x:f>IFERROR(D25/E25,"")</x:f>
        <x:v>0</x:v>
      </x:c>
      <x:c r="G25" s="238"/>
      <x:c r="H25" s="238"/>
      <x:c r="I25" s="238"/>
      <x:c r="J25" s="238"/>
      <x:c r="K25" s="238"/>
      <x:c r="L25" s="238"/>
      <x:c r="M25" s="238" t="str">
        <x:v>Not Started</x:v>
      </x:c>
    </x:row>
    <x:row r="26" ht="30" customHeight="1">
      <x:c r="A26" s="231"/>
      <x:c r="B26" s="232"/>
      <x:c r="C26" s="232"/>
      <x:c r="D26" s="232"/>
      <x:c r="E26" s="232" t="n">
        <x:v>200</x:v>
      </x:c>
      <x:c r="F26" s="217" t="n">
        <x:f>IFERROR(D26/E26,"")</x:f>
        <x:v>0</x:v>
      </x:c>
      <x:c r="G26" s="238"/>
      <x:c r="H26" s="238"/>
      <x:c r="I26" s="238"/>
      <x:c r="J26" s="238"/>
      <x:c r="K26" s="238"/>
      <x:c r="L26" s="238"/>
      <x:c r="M26" s="238" t="str">
        <x:v>Not Started</x:v>
      </x:c>
    </x:row>
    <x:row r="27" ht="30" customHeight="1">
      <x:c r="A27" s="231"/>
      <x:c r="B27" s="232"/>
      <x:c r="C27" s="232"/>
      <x:c r="D27" s="232"/>
      <x:c r="E27" s="232" t="n">
        <x:v>200</x:v>
      </x:c>
      <x:c r="F27" s="217" t="n">
        <x:f>IFERROR(D27/E27,"")</x:f>
        <x:v>0</x:v>
      </x:c>
      <x:c r="G27" s="238"/>
      <x:c r="H27" s="238"/>
      <x:c r="I27" s="238"/>
      <x:c r="J27" s="238"/>
      <x:c r="K27" s="238"/>
      <x:c r="L27" s="238"/>
      <x:c r="M27" s="238" t="str">
        <x:v>Not Started</x:v>
      </x:c>
    </x:row>
    <x:row r="28" ht="30" customHeight="1">
      <x:c r="A28" s="231"/>
      <x:c r="B28" s="232"/>
      <x:c r="C28" s="232"/>
      <x:c r="D28" s="232"/>
      <x:c r="E28" s="232" t="n">
        <x:v>200</x:v>
      </x:c>
      <x:c r="F28" s="217" t="n">
        <x:f>IFERROR(D28/E28,"")</x:f>
        <x:v>0</x:v>
      </x:c>
      <x:c r="G28" s="238"/>
      <x:c r="H28" s="238"/>
      <x:c r="I28" s="238"/>
      <x:c r="J28" s="238"/>
      <x:c r="K28" s="238"/>
      <x:c r="L28" s="238"/>
      <x:c r="M28" s="238" t="str">
        <x:v>Not Started</x:v>
      </x:c>
    </x:row>
    <x:row r="29" ht="30" customHeight="1">
      <x:c r="A29" s="231"/>
      <x:c r="B29" s="232"/>
      <x:c r="C29" s="232"/>
      <x:c r="D29" s="232"/>
      <x:c r="E29" s="232" t="n">
        <x:v>200</x:v>
      </x:c>
      <x:c r="F29" s="217" t="n">
        <x:f>IFERROR(D29/E29,"")</x:f>
        <x:v>0</x:v>
      </x:c>
      <x:c r="G29" s="238"/>
      <x:c r="H29" s="238"/>
      <x:c r="I29" s="238"/>
      <x:c r="J29" s="238"/>
      <x:c r="K29" s="238"/>
      <x:c r="L29" s="238"/>
      <x:c r="M29" s="238" t="str">
        <x:v>Not Started</x:v>
      </x:c>
    </x:row>
    <x:row r="30" ht="30" customHeight="1">
      <x:c r="A30" s="231"/>
      <x:c r="B30" s="232"/>
      <x:c r="C30" s="232"/>
      <x:c r="D30" s="232"/>
      <x:c r="E30" s="232" t="n">
        <x:v>200</x:v>
      </x:c>
      <x:c r="F30" s="217" t="n">
        <x:f>IFERROR(D30/E30,"")</x:f>
        <x:v>0</x:v>
      </x:c>
      <x:c r="G30" s="238"/>
      <x:c r="H30" s="238"/>
      <x:c r="I30" s="238"/>
      <x:c r="J30" s="238"/>
      <x:c r="K30" s="238"/>
      <x:c r="L30" s="238"/>
      <x:c r="M30" s="238" t="str">
        <x:v>Not Started</x:v>
      </x:c>
    </x:row>
    <x:row r="31" ht="30" customHeight="1">
      <x:c r="A31" s="231"/>
      <x:c r="B31" s="232"/>
      <x:c r="C31" s="232"/>
      <x:c r="D31" s="232"/>
      <x:c r="E31" s="232" t="n">
        <x:v>200</x:v>
      </x:c>
      <x:c r="F31" s="217" t="n">
        <x:f>IFERROR(D31/E31,"")</x:f>
        <x:v>0</x:v>
      </x:c>
      <x:c r="G31" s="238"/>
      <x:c r="H31" s="238"/>
      <x:c r="I31" s="238"/>
      <x:c r="J31" s="238"/>
      <x:c r="K31" s="238"/>
      <x:c r="L31" s="238"/>
      <x:c r="M31" s="238" t="str">
        <x:v>Not Started</x:v>
      </x:c>
    </x:row>
  </x:sheetData>
  <x:conditionalFormatting sqref="M2:M31">
    <x:cfRule type="expression" dxfId="5" priority="1">
      <x:formula>M2="Completed"</x:formula>
    </x:cfRule>
    <x:cfRule type="expression" dxfId="6" priority="2">
      <x:formula>M2="Reviewed"</x:formula>
    </x:cfRule>
  </x:conditionalFormatting>
  <x:dataValidations count="2">
    <x:dataValidation type="list" sqref="M2:M31">
      <x:formula1>"Not Started,In Progress,Completed,Reviewed"</x:formula1>
    </x:dataValidation>
    <x:dataValidation type="list" sqref="C2:C31">
      <x:formula1>"Diagnostic,Quant sectional,LR/AR sectional,VARC sectional,Mixed sectional,Full mock"</x:formula1>
    </x:dataValidation>
  </x:dataValidations>
  <x:pageMargins left="0.7" right="0.7" top="0.75" bottom="0.75" header="0.3" footer="0.3"/>
</x:worksheet>
</file>